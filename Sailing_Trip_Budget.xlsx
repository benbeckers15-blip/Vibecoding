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vings Plan" sheetId="1" state="visible" r:id="rId3"/>
    <sheet name="Budget Summary" sheetId="2" state="visible" r:id="rId4"/>
    <sheet name="Detai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<sst xmlns="http://schemas.openxmlformats.org/spreadsheetml/2006/main" count="158" uniqueCount="121">
  <si>
    <t xml:space="preserve">CAN WE AFFORD IT?  —  20-MONTH SAVINGS PLAN</t>
  </si>
  <si>
    <t xml:space="preserve">Two earners, $0 saved today, departure in 20 months. All figures USD. Yellow cells are yours to change.</t>
  </si>
  <si>
    <t xml:space="preserve">INPUTS</t>
  </si>
  <si>
    <t xml:space="preserve">Gross salary — person A (USD/yr)</t>
  </si>
  <si>
    <t xml:space="preserve">Gross salary — person B (USD/yr)</t>
  </si>
  <si>
    <t xml:space="preserve">Effective tax rate (fed + state + FICA)</t>
  </si>
  <si>
    <t xml:space="preserve">Months until departure</t>
  </si>
  <si>
    <t xml:space="preserve">Living costs while renting (both, USD/mo)</t>
  </si>
  <si>
    <t xml:space="preserve">Move aboard the boat at month #</t>
  </si>
  <si>
    <t xml:space="preserve">Living costs once aboard (both, USD/mo)</t>
  </si>
  <si>
    <t xml:space="preserve">WHAT YOU EARN &amp; CAN SAVE</t>
  </si>
  <si>
    <t xml:space="preserve">Combined gross income (USD/yr)</t>
  </si>
  <si>
    <t xml:space="preserve">Combined take-home (USD/yr)</t>
  </si>
  <si>
    <t xml:space="preserve">Combined take-home (USD/mo)</t>
  </si>
  <si>
    <t xml:space="preserve">Months renting before moving aboard</t>
  </si>
  <si>
    <t xml:space="preserve">Months living aboard before departure</t>
  </si>
  <si>
    <t xml:space="preserve">Savings/mo while renting</t>
  </si>
  <si>
    <t xml:space="preserve">Savings/mo while living aboard</t>
  </si>
  <si>
    <t xml:space="preserve">TOTAL SAVED BY DEPARTURE (this plan)</t>
  </si>
  <si>
    <t xml:space="preserve">IF YOU JUST PICK A MONTHLY SAVINGS TARGET INSTEAD</t>
  </si>
  <si>
    <t xml:space="preserve">Discipline level</t>
  </si>
  <si>
    <t xml:space="preserve">Saved/mo (both)</t>
  </si>
  <si>
    <t xml:space="preserve">Saved in 20 mo</t>
  </si>
  <si>
    <t xml:space="preserve">% of take-home</t>
  </si>
  <si>
    <t xml:space="preserve">Relaxed</t>
  </si>
  <si>
    <t xml:space="preserve">Committed</t>
  </si>
  <si>
    <t xml:space="preserve">Hardcore + liveaboard</t>
  </si>
  <si>
    <t xml:space="preserve">Bottom line: at a "Committed" ~$4,000/mo combined (about 40% of take-home) you bank ~$80k in 20 months — more than enough to float the trip and have a cushion. Smartest move: buy a cheap, sound boat ~10 months out, move aboard to kill rent, and use the time to fix it up and learn it. You sell the boat at the end and get most of that money back (see Budget tab), so the trip’s TRUE cost is far below the cash you float.</t>
  </si>
  <si>
    <t xml:space="preserve">BUDGET SUMMARY  —  Perth → Exmouth → Rowley Shoals → Indonesia → Darwin</t>
  </si>
  <si>
    <t xml:space="preserve">Dry season • 2 crew • buying a cheap older 32–38ft cruiser • DIY &amp; frugal • all USD (AUD × ~0.66)</t>
  </si>
  <si>
    <t xml:space="preserve">Category</t>
  </si>
  <si>
    <t xml:space="preserve">Low</t>
  </si>
  <si>
    <t xml:space="preserve">Likely</t>
  </si>
  <si>
    <t xml:space="preserve">High</t>
  </si>
  <si>
    <t xml:space="preserve">What it covers</t>
  </si>
  <si>
    <t xml:space="preserve">Vessel</t>
  </si>
  <si>
    <t xml:space="preserve">Cheap older boat + survey + haul-out</t>
  </si>
  <si>
    <t xml:space="preserve">Refit &amp; Equipment</t>
  </si>
  <si>
    <t xml:space="preserve">Safety gear, rigging, sails, nav, power, tender (DIY/used)</t>
  </si>
  <si>
    <t xml:space="preserve">Insurance</t>
  </si>
  <si>
    <t xml:space="preserve">Liability + travel/medical/evacuation</t>
  </si>
  <si>
    <t xml:space="preserve">Fuel &amp; Propulsion</t>
  </si>
  <si>
    <t xml:space="preserve">Diesel + engine service</t>
  </si>
  <si>
    <t xml:space="preserve">Berthing</t>
  </si>
  <si>
    <t xml:space="preserve">Marina nights (mostly anchored)</t>
  </si>
  <si>
    <t xml:space="preserve">Provisions &amp; Food</t>
  </si>
  <si>
    <t xml:space="preserve">Groceries, local food, gas</t>
  </si>
  <si>
    <t xml:space="preserve">Customs, Permits &amp; Visas</t>
  </si>
  <si>
    <t xml:space="preserve">Indonesia permit/visas + AU re-entry</t>
  </si>
  <si>
    <t xml:space="preserve">Comms &amp; Connectivity</t>
  </si>
  <si>
    <t xml:space="preserve">Starlink + SIMs</t>
  </si>
  <si>
    <t xml:space="preserve">Maintenance &amp; Repairs</t>
  </si>
  <si>
    <t xml:space="preserve">Running repairs on an old boat</t>
  </si>
  <si>
    <t xml:space="preserve">Activities &amp; Personal</t>
  </si>
  <si>
    <t xml:space="preserve">Diving, tours, flights home, meds</t>
  </si>
  <si>
    <t xml:space="preserve">CAPITAL (boat + refit) — mostly recoverable</t>
  </si>
  <si>
    <t xml:space="preserve">OPERATING (6-month running costs)</t>
  </si>
  <si>
    <t xml:space="preserve">Contingency (% of operating)</t>
  </si>
  <si>
    <t xml:space="preserve">TOTAL CASH YOU MUST FLOAT</t>
  </si>
  <si>
    <t xml:space="preserve">WHAT IT ACTUALLY COSTS YOU (you sell the boat at the end)</t>
  </si>
  <si>
    <t xml:space="preserve">Resale recovery rate on boat + refit (editable)</t>
  </si>
  <si>
    <t xml:space="preserve">Cheap sound boats hold value; ~80–90% back</t>
  </si>
  <si>
    <t xml:space="preserve">Resale proceeds back (Likely)</t>
  </si>
  <si>
    <t xml:space="preserve">TRUE COST OF THE TRIP (Likely, after resale)</t>
  </si>
  <si>
    <t xml:space="preserve">How to read this: the big number ("cash you must float") is dominated by the boat — but you get ~85% of that back when you sell her in Darwin/Australia afterwards, so the trip’s TRUE cost is the smaller figure. Levers to go cheaper: smaller/older boat, skip the watermaker (carry water), liability-only insurance, anchor out, and DIY the refit. Levers that add up fast: a catamaran (1.5–2x everything), hull insurance, and marina living. Verify current Indonesia YachtERS permit + visa rules before departure — they change. Insurance note: many young budget cruisers run liability-only and self-insure the hull; that’s the cheap path but you carry the risk if the boat is lost.</t>
  </si>
  <si>
    <t xml:space="preserve">BUDGET DETAIL — shoestring version (older 32–38ft boat, DIY, anchor-out)   |   USD</t>
  </si>
  <si>
    <t xml:space="preserve">Blue = editable estimate. Low = lean/shoestring, Likely = realistic frugal, High = if things go sideways.</t>
  </si>
  <si>
    <t xml:space="preserve">Line item</t>
  </si>
  <si>
    <t xml:space="preserve">Notes / assumptions</t>
  </si>
  <si>
    <t xml:space="preserve">Boat — older 34–38ft fibreglass cruiser</t>
  </si>
  <si>
    <t xml:space="preserve">Capable older bluewater design. ~AUD $25–60k.</t>
  </si>
  <si>
    <t xml:space="preserve">Pre-purchase survey</t>
  </si>
  <si>
    <t xml:space="preserve">Cheap insurance against a money-pit.</t>
  </si>
  <si>
    <t xml:space="preserve">Pre-trip haul-out &amp; antifoul (DIY where you can)</t>
  </si>
  <si>
    <t xml:space="preserve">Standing rigging check / selective replacement</t>
  </si>
  <si>
    <t xml:space="preserve">Inspect; replace only what is due.</t>
  </si>
  <si>
    <t xml:space="preserve">Sails (good used; reuse what is aboard)</t>
  </si>
  <si>
    <t xml:space="preserve">Liferaft (hire or used) + EPIRB + PLBs</t>
  </si>
  <si>
    <t xml:space="preserve">Non-negotiable offshore.</t>
  </si>
  <si>
    <t xml:space="preserve">Safety gear (harnesses, jacklines, flares, fire, medical)</t>
  </si>
  <si>
    <t xml:space="preserve">Ground tackle (anchor + extra chain)</t>
  </si>
  <si>
    <t xml:space="preserve">Boat usually has a main anchor already.</t>
  </si>
  <si>
    <t xml:space="preserve">Fresh water — jerry cans / small used watermaker</t>
  </si>
  <si>
    <t xml:space="preserve">Skip the watermaker to save ~$4k; plan water stops.</t>
  </si>
  <si>
    <t xml:space="preserve">Navigation — tablet + OpenCPN, used AIS, autopilot</t>
  </si>
  <si>
    <t xml:space="preserve">Tablet nav saves thousands vs a new plotter.</t>
  </si>
  <si>
    <t xml:space="preserve">Comms (used Starlink dish + handheld VHF)</t>
  </si>
  <si>
    <t xml:space="preserve">Power (solar panels + batteries)</t>
  </si>
  <si>
    <t xml:space="preserve">Top up existing system.</t>
  </si>
  <si>
    <t xml:space="preserve">Dinghy + outboard (used)</t>
  </si>
  <si>
    <t xml:space="preserve">Often comes with the boat.</t>
  </si>
  <si>
    <t xml:space="preserve">Spares, tools &amp; consumables</t>
  </si>
  <si>
    <t xml:space="preserve">Third-party liability only (self-insure the hull)</t>
  </si>
  <si>
    <t xml:space="preserve">Hull cover is costly/hard for young crew on a cheap boat; liability is cheap.</t>
  </si>
  <si>
    <t xml:space="preserve">Travel / medical &amp; emergency evacuation (2 ppl, 6 mo)</t>
  </si>
  <si>
    <t xml:space="preserve">Do NOT skip evacuation cover.</t>
  </si>
  <si>
    <t xml:space="preserve">Diesel (sail-heavy, small engine)</t>
  </si>
  <si>
    <t xml:space="preserve">Engine service, oils &amp; filters</t>
  </si>
  <si>
    <t xml:space="preserve">Marina nights (mostly at anchor = free)</t>
  </si>
  <si>
    <t xml:space="preserve">Groceries (2 ppl, ~26 wks, cook aboard)</t>
  </si>
  <si>
    <t xml:space="preserve">~$300–350/week for two.</t>
  </si>
  <si>
    <t xml:space="preserve">Local food / eating out (Indonesia is cheap)</t>
  </si>
  <si>
    <t xml:space="preserve">Galley gas</t>
  </si>
  <si>
    <t xml:space="preserve">Indonesia e-permit (YachtERS) &amp; clearances (DIY)</t>
  </si>
  <si>
    <t xml:space="preserve">Clearance is free; small admin/port fees.</t>
  </si>
  <si>
    <t xml:space="preserve">Indonesia agent (only if a port requires it)</t>
  </si>
  <si>
    <t xml:space="preserve">Skip in DIY-friendly ports (Kupang, Bali).</t>
  </si>
  <si>
    <t xml:space="preserve">Visas — VOA + extension (2 people)</t>
  </si>
  <si>
    <t xml:space="preserve">~US$35 pp / 30 days, extendable.</t>
  </si>
  <si>
    <t xml:space="preserve">Australia re-entry &amp; biosecurity</t>
  </si>
  <si>
    <t xml:space="preserve">ABF / biosecurity at Darwin.</t>
  </si>
  <si>
    <t xml:space="preserve">Starlink Roam plan (6 months)</t>
  </si>
  <si>
    <t xml:space="preserve">~$165/mo unlimited-ish.</t>
  </si>
  <si>
    <t xml:space="preserve">Local SIMs / sat airtime</t>
  </si>
  <si>
    <t xml:space="preserve">Running repairs &amp; parts (old boat — budget for it)</t>
  </si>
  <si>
    <t xml:space="preserve">Older boats break; this is the line that saves the trip.</t>
  </si>
  <si>
    <t xml:space="preserve">Diving &amp; snorkelling (own gear vs charter)</t>
  </si>
  <si>
    <t xml:space="preserve">Tours &amp; land travel</t>
  </si>
  <si>
    <t xml:space="preserve">Flights / positioning (one-way home from Darwin)</t>
  </si>
  <si>
    <t xml:space="preserve">Vaccinations &amp; meds</t>
  </si>
  <si>
    <t xml:space="preserve">TOTAL — gross cash outlay</t>
  </si>
</sst>
</file>

<file path=xl/styles.xml><?xml version="1.0" encoding="utf-8"?>
<styleSheet xmlns="http://schemas.openxmlformats.org/spreadsheetml/2006/main">
  <numFmts count="4">
    <numFmt numFmtId="164" formatCode="General"/>
    <numFmt numFmtId="165" formatCode="\$#,##0;&quot;($&quot;#,##0\);\-"/>
    <numFmt numFmtId="166" formatCode="0%"/>
    <numFmt numFmtId="167" formatCode="0"/>
  </numFmts>
  <fonts count="2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55555"/>
      <name val="Arial"/>
      <family val="0"/>
      <charset val="1"/>
    </font>
    <font>
      <b val="true"/>
      <sz val="11"/>
      <color rgb="FF1F3A2E"/>
      <name val="Arial"/>
      <family val="0"/>
      <charset val="1"/>
    </font>
    <font>
      <sz val="10"/>
      <color rgb="FF000000"/>
      <name val="Arial"/>
      <family val="0"/>
      <charset val="1"/>
    </font>
    <font>
      <b val="true"/>
      <sz val="11"/>
      <color rgb="FF0000FF"/>
      <name val="Arial"/>
      <family val="0"/>
      <charset val="1"/>
    </font>
    <font>
      <sz val="11"/>
      <color rgb="FF000000"/>
      <name val="Arial"/>
      <family val="0"/>
      <charset val="1"/>
    </font>
    <font>
      <b val="true"/>
      <sz val="10"/>
      <color rgb="FF000000"/>
      <name val="Arial"/>
      <family val="0"/>
      <charset val="1"/>
    </font>
    <font>
      <b val="true"/>
      <sz val="11"/>
      <color rgb="FF000000"/>
      <name val="Arial"/>
      <family val="0"/>
      <charset val="1"/>
    </font>
    <font>
      <b val="true"/>
      <sz val="12"/>
      <color rgb="FFFFFFFF"/>
      <name val="Arial"/>
      <family val="0"/>
      <charset val="1"/>
    </font>
    <font>
      <b val="true"/>
      <sz val="11"/>
      <color rgb="FFFFFFFF"/>
      <name val="Arial"/>
      <family val="0"/>
      <charset val="1"/>
    </font>
    <font>
      <sz val="10"/>
      <name val="Arial"/>
      <family val="0"/>
      <charset val="1"/>
    </font>
    <font>
      <i val="true"/>
      <sz val="9"/>
      <color rgb="FF444444"/>
      <name val="Arial"/>
      <family val="0"/>
      <charset val="1"/>
    </font>
    <font>
      <b val="true"/>
      <sz val="14"/>
      <color rgb="FFFFFFFF"/>
      <name val="Arial"/>
      <family val="0"/>
      <charset val="1"/>
    </font>
    <font>
      <b val="true"/>
      <sz val="10"/>
      <name val="Arial"/>
      <family val="0"/>
      <charset val="1"/>
    </font>
    <font>
      <sz val="11"/>
      <color rgb="FF008000"/>
      <name val="Arial"/>
      <family val="0"/>
      <charset val="1"/>
    </font>
    <font>
      <i val="true"/>
      <sz val="9"/>
      <color rgb="FF666666"/>
      <name val="Arial"/>
      <family val="0"/>
      <charset val="1"/>
    </font>
    <font>
      <b val="true"/>
      <sz val="10"/>
      <color rgb="FF1F3A2E"/>
      <name val="Arial"/>
      <family val="0"/>
      <charset val="1"/>
    </font>
    <font>
      <sz val="11"/>
      <color rgb="FF1F3A2E"/>
      <name val="Arial"/>
      <family val="0"/>
      <charset val="1"/>
    </font>
    <font>
      <b val="true"/>
      <sz val="12"/>
      <color rgb="FF1F3A2E"/>
      <name val="Arial"/>
      <family val="0"/>
      <charset val="1"/>
    </font>
    <font>
      <sz val="9"/>
      <color rgb="FF555555"/>
      <name val="Arial"/>
      <family val="0"/>
      <charset val="1"/>
    </font>
    <font>
      <sz val="11"/>
      <color rgb="FF0000FF"/>
      <name val="Arial"/>
      <family val="0"/>
      <charset val="1"/>
    </font>
    <font>
      <b val="true"/>
      <sz val="11"/>
      <name val="Arial"/>
      <family val="0"/>
      <charset val="1"/>
    </font>
  </fonts>
  <fills count="8">
    <fill>
      <patternFill patternType="none"/>
    </fill>
    <fill>
      <patternFill patternType="gray125"/>
    </fill>
    <fill>
      <patternFill patternType="solid">
        <fgColor rgb="FF1F3A2E"/>
        <bgColor rgb="FF444444"/>
      </patternFill>
    </fill>
    <fill>
      <patternFill patternType="solid">
        <fgColor rgb="FFF4F7F3"/>
        <bgColor rgb="FFEEF3EA"/>
      </patternFill>
    </fill>
    <fill>
      <patternFill patternType="solid">
        <fgColor rgb="FFFFF2CC"/>
        <bgColor rgb="FFEEF3EA"/>
      </patternFill>
    </fill>
    <fill>
      <patternFill patternType="solid">
        <fgColor rgb="FFFFFFFF"/>
        <bgColor rgb="FFF4F7F3"/>
      </patternFill>
    </fill>
    <fill>
      <patternFill patternType="solid">
        <fgColor rgb="FF548323"/>
        <bgColor rgb="FF666666"/>
      </patternFill>
    </fill>
    <fill>
      <patternFill patternType="solid">
        <fgColor rgb="FFEEF3EA"/>
        <bgColor rgb="FFF4F7F3"/>
      </patternFill>
    </fill>
  </fills>
  <borders count="3">
    <border diagonalUp="false" diagonalDown="false">
      <left/>
      <right/>
      <top/>
      <bottom/>
      <diagonal/>
    </border>
    <border diagonalUp="false" diagonalDown="false">
      <left style="thin">
        <color rgb="FFC9D4C7"/>
      </left>
      <right style="thin">
        <color rgb="FFC9D4C7"/>
      </right>
      <top style="thin">
        <color rgb="FFC9D4C7"/>
      </top>
      <bottom style="thin">
        <color rgb="FFC9D4C7"/>
      </bottom>
      <diagonal/>
    </border>
    <border diagonalUp="false" diagonalDown="false">
      <left/>
      <right/>
      <top/>
      <bottom style="medium">
        <color rgb="FF54832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bottom"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12" fillId="6" borderId="1"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general" vertical="bottom" textRotation="0" wrapText="false" indent="1"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center" textRotation="0" wrapText="tru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4" fontId="20" fillId="7" borderId="1" xfId="0" applyFont="true" applyBorder="true" applyAlignment="false" applyProtection="false">
      <alignment horizontal="general" vertical="bottom" textRotation="0" wrapText="false" indent="0" shrinkToFit="false"/>
      <protection locked="true" hidden="false"/>
    </xf>
    <xf numFmtId="165" fontId="20"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21" fillId="0"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13" fillId="2" borderId="1"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23" fillId="3" borderId="1" xfId="0" applyFont="true" applyBorder="tru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5" fontId="24" fillId="3" borderId="1" xfId="0" applyFont="true" applyBorder="true" applyAlignment="false" applyProtection="false">
      <alignment horizontal="general" vertical="bottom" textRotation="0" wrapText="false" indent="0" shrinkToFit="false"/>
      <protection locked="true" hidden="false"/>
    </xf>
    <xf numFmtId="164" fontId="23" fillId="5" borderId="1" xfId="0" applyFont="tru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top" textRotation="0" wrapText="true" indent="0" shrinkToFit="false"/>
      <protection locked="true" hidden="false"/>
    </xf>
    <xf numFmtId="165" fontId="24" fillId="5" borderId="1" xfId="0" applyFont="tru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25" fillId="7" borderId="2" xfId="0" applyFont="true" applyBorder="true" applyAlignment="false" applyProtection="false">
      <alignment horizontal="general" vertical="bottom" textRotation="0" wrapText="false" indent="0" shrinkToFit="false"/>
      <protection locked="true" hidden="false"/>
    </xf>
    <xf numFmtId="165" fontId="6" fillId="7"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323"/>
      <rgbColor rgb="FF800080"/>
      <rgbColor rgb="FF008080"/>
      <rgbColor rgb="FFC9D4C7"/>
      <rgbColor rgb="FF808080"/>
      <rgbColor rgb="FF9999FF"/>
      <rgbColor rgb="FF993366"/>
      <rgbColor rgb="FFFFF2CC"/>
      <rgbColor rgb="FFEEF3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7F3"/>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444444"/>
      <rgbColor rgb="FF993300"/>
      <rgbColor rgb="FF993366"/>
      <rgbColor rgb="FF555555"/>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4" min="3" style="0" width="16"/>
    <col collapsed="false" customWidth="true" hidden="false" outlineLevel="0" max="5" min="5" style="0" width="8"/>
  </cols>
  <sheetData>
    <row r="1" customFormat="false" ht="27.7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15" hidden="false" customHeight="false" outlineLevel="0" collapsed="false">
      <c r="A5" s="4" t="s">
        <v>3</v>
      </c>
      <c r="C5" s="5" t="n">
        <v>80000</v>
      </c>
    </row>
    <row r="6" customFormat="false" ht="15" hidden="false" customHeight="false" outlineLevel="0" collapsed="false">
      <c r="A6" s="6" t="s">
        <v>4</v>
      </c>
      <c r="C6" s="5" t="n">
        <v>80000</v>
      </c>
    </row>
    <row r="7" customFormat="false" ht="15" hidden="false" customHeight="false" outlineLevel="0" collapsed="false">
      <c r="A7" s="4" t="s">
        <v>5</v>
      </c>
      <c r="C7" s="7" t="n">
        <v>0.25</v>
      </c>
    </row>
    <row r="8" customFormat="false" ht="15" hidden="false" customHeight="false" outlineLevel="0" collapsed="false">
      <c r="A8" s="6" t="s">
        <v>6</v>
      </c>
      <c r="C8" s="8" t="n">
        <v>20</v>
      </c>
    </row>
    <row r="9" customFormat="false" ht="15" hidden="false" customHeight="false" outlineLevel="0" collapsed="false">
      <c r="A9" s="4" t="s">
        <v>7</v>
      </c>
      <c r="C9" s="5" t="n">
        <v>4000</v>
      </c>
    </row>
    <row r="10" customFormat="false" ht="15" hidden="false" customHeight="false" outlineLevel="0" collapsed="false">
      <c r="A10" s="6" t="s">
        <v>8</v>
      </c>
      <c r="C10" s="8" t="n">
        <v>10</v>
      </c>
    </row>
    <row r="11" customFormat="false" ht="15" hidden="false" customHeight="false" outlineLevel="0" collapsed="false">
      <c r="A11" s="4" t="s">
        <v>9</v>
      </c>
      <c r="C11" s="5" t="n">
        <v>2200</v>
      </c>
    </row>
    <row r="13" customFormat="false" ht="15" hidden="false" customHeight="false" outlineLevel="0" collapsed="false">
      <c r="A13" s="3" t="s">
        <v>10</v>
      </c>
    </row>
    <row r="14" customFormat="false" ht="15" hidden="false" customHeight="false" outlineLevel="0" collapsed="false">
      <c r="A14" s="9" t="s">
        <v>11</v>
      </c>
      <c r="C14" s="10" t="n">
        <f aca="false">C5+C6</f>
        <v>160000</v>
      </c>
    </row>
    <row r="15" customFormat="false" ht="15" hidden="false" customHeight="false" outlineLevel="0" collapsed="false">
      <c r="A15" s="9" t="s">
        <v>12</v>
      </c>
      <c r="C15" s="10" t="n">
        <f aca="false">C14*(1-C7)</f>
        <v>120000</v>
      </c>
    </row>
    <row r="16" customFormat="false" ht="15" hidden="false" customHeight="false" outlineLevel="0" collapsed="false">
      <c r="A16" s="11" t="s">
        <v>13</v>
      </c>
      <c r="C16" s="12" t="n">
        <f aca="false">C15/12</f>
        <v>10000</v>
      </c>
    </row>
    <row r="17" customFormat="false" ht="15" hidden="false" customHeight="false" outlineLevel="0" collapsed="false">
      <c r="A17" s="9" t="s">
        <v>14</v>
      </c>
      <c r="C17" s="13" t="n">
        <f aca="false">C10-1</f>
        <v>9</v>
      </c>
    </row>
    <row r="18" customFormat="false" ht="15" hidden="false" customHeight="false" outlineLevel="0" collapsed="false">
      <c r="A18" s="9" t="s">
        <v>15</v>
      </c>
      <c r="C18" s="13" t="n">
        <f aca="false">C8-(C10-1)</f>
        <v>11</v>
      </c>
    </row>
    <row r="19" customFormat="false" ht="15" hidden="false" customHeight="false" outlineLevel="0" collapsed="false">
      <c r="A19" s="9" t="s">
        <v>16</v>
      </c>
      <c r="C19" s="10" t="n">
        <f aca="false">C16-C9</f>
        <v>6000</v>
      </c>
    </row>
    <row r="20" customFormat="false" ht="15" hidden="false" customHeight="false" outlineLevel="0" collapsed="false">
      <c r="A20" s="9" t="s">
        <v>17</v>
      </c>
      <c r="C20" s="10" t="n">
        <f aca="false">C16-C11</f>
        <v>7800</v>
      </c>
    </row>
    <row r="21" customFormat="false" ht="15" hidden="false" customHeight="false" outlineLevel="0" collapsed="false">
      <c r="A21" s="14" t="s">
        <v>18</v>
      </c>
      <c r="B21" s="15"/>
      <c r="C21" s="16" t="n">
        <f aca="false">C17*C19+C18*C20</f>
        <v>139800</v>
      </c>
      <c r="D21" s="15"/>
      <c r="E21" s="15"/>
    </row>
    <row r="24" customFormat="false" ht="15" hidden="false" customHeight="false" outlineLevel="0" collapsed="false">
      <c r="A24" s="3" t="s">
        <v>19</v>
      </c>
    </row>
    <row r="25" customFormat="false" ht="15" hidden="false" customHeight="false" outlineLevel="0" collapsed="false">
      <c r="A25" s="17" t="s">
        <v>20</v>
      </c>
      <c r="B25" s="17" t="s">
        <v>21</v>
      </c>
      <c r="C25" s="17" t="s">
        <v>22</v>
      </c>
      <c r="D25" s="17" t="s">
        <v>23</v>
      </c>
    </row>
    <row r="26" customFormat="false" ht="15" hidden="false" customHeight="false" outlineLevel="0" collapsed="false">
      <c r="A26" s="18" t="s">
        <v>24</v>
      </c>
      <c r="B26" s="5" t="n">
        <v>2500</v>
      </c>
      <c r="C26" s="10" t="n">
        <f aca="false">B26*C$8</f>
        <v>50000</v>
      </c>
      <c r="D26" s="19" t="n">
        <f aca="false">B26/C$16</f>
        <v>0.25</v>
      </c>
    </row>
    <row r="27" customFormat="false" ht="15" hidden="false" customHeight="false" outlineLevel="0" collapsed="false">
      <c r="A27" s="18" t="s">
        <v>25</v>
      </c>
      <c r="B27" s="5" t="n">
        <v>4000</v>
      </c>
      <c r="C27" s="10" t="n">
        <f aca="false">B27*C$8</f>
        <v>80000</v>
      </c>
      <c r="D27" s="19" t="n">
        <f aca="false">B27/C$16</f>
        <v>0.4</v>
      </c>
    </row>
    <row r="28" customFormat="false" ht="15" hidden="false" customHeight="false" outlineLevel="0" collapsed="false">
      <c r="A28" s="18" t="s">
        <v>26</v>
      </c>
      <c r="B28" s="5" t="n">
        <v>6000</v>
      </c>
      <c r="C28" s="10" t="n">
        <f aca="false">B28*C$8</f>
        <v>120000</v>
      </c>
      <c r="D28" s="19" t="n">
        <f aca="false">B28/C$16</f>
        <v>0.6</v>
      </c>
    </row>
    <row r="30" customFormat="false" ht="15" hidden="false" customHeight="true" outlineLevel="0" collapsed="false">
      <c r="A30" s="20" t="s">
        <v>27</v>
      </c>
      <c r="B30" s="20"/>
      <c r="C30" s="20"/>
      <c r="D30" s="20"/>
      <c r="E30" s="20"/>
    </row>
    <row r="31" customFormat="false" ht="15" hidden="false" customHeight="false" outlineLevel="0" collapsed="false">
      <c r="A31" s="20"/>
      <c r="B31" s="20"/>
      <c r="C31" s="20"/>
      <c r="D31" s="20"/>
      <c r="E31" s="20"/>
    </row>
    <row r="32" customFormat="false" ht="15" hidden="false" customHeight="false" outlineLevel="0" collapsed="false">
      <c r="A32" s="20"/>
      <c r="B32" s="20"/>
      <c r="C32" s="20"/>
      <c r="D32" s="20"/>
      <c r="E32" s="20"/>
    </row>
    <row r="33" customFormat="false" ht="15" hidden="false" customHeight="false" outlineLevel="0" collapsed="false">
      <c r="A33" s="20"/>
      <c r="B33" s="20"/>
      <c r="C33" s="20"/>
      <c r="D33" s="20"/>
      <c r="E33" s="20"/>
    </row>
  </sheetData>
  <mergeCells count="3">
    <mergeCell ref="A1:E1"/>
    <mergeCell ref="A2:E2"/>
    <mergeCell ref="A30: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4" min="2" style="0" width="13"/>
    <col collapsed="false" customWidth="true" hidden="false" outlineLevel="0" max="5" min="5" style="0" width="40"/>
    <col collapsed="false" customWidth="true" hidden="false" outlineLevel="0" max="6" min="6" style="0" width="9"/>
  </cols>
  <sheetData>
    <row r="1" customFormat="false" ht="27.75" hidden="false" customHeight="true" outlineLevel="0" collapsed="false">
      <c r="A1" s="21" t="s">
        <v>28</v>
      </c>
      <c r="B1" s="21"/>
      <c r="C1" s="21"/>
      <c r="D1" s="21"/>
      <c r="E1" s="21"/>
    </row>
    <row r="2" customFormat="false" ht="15" hidden="false" customHeight="false" outlineLevel="0" collapsed="false">
      <c r="A2" s="22" t="s">
        <v>29</v>
      </c>
      <c r="B2" s="22"/>
      <c r="C2" s="22"/>
      <c r="D2" s="22"/>
      <c r="E2" s="22"/>
    </row>
    <row r="4" customFormat="false" ht="15" hidden="false" customHeight="false" outlineLevel="0" collapsed="false">
      <c r="A4" s="17" t="s">
        <v>30</v>
      </c>
      <c r="B4" s="17" t="s">
        <v>31</v>
      </c>
      <c r="C4" s="17" t="s">
        <v>32</v>
      </c>
      <c r="D4" s="17" t="s">
        <v>33</v>
      </c>
      <c r="E4" s="17" t="s">
        <v>34</v>
      </c>
    </row>
    <row r="5" customFormat="false" ht="15" hidden="false" customHeight="false" outlineLevel="0" collapsed="false">
      <c r="A5" s="23" t="s">
        <v>35</v>
      </c>
      <c r="B5" s="24" t="n">
        <f aca="false">SUMIF(Detail!$A:$A,$A5,Detail!$D:$D)</f>
        <v>17400</v>
      </c>
      <c r="C5" s="24" t="n">
        <f aca="false">SUMIF(Detail!$A:$A,$A5,Detail!$E:$E)</f>
        <v>30700</v>
      </c>
      <c r="D5" s="24" t="n">
        <f aca="false">SUMIF(Detail!$A:$A,$A5,Detail!$F:$F)</f>
        <v>50500</v>
      </c>
      <c r="E5" s="25" t="s">
        <v>36</v>
      </c>
    </row>
    <row r="6" customFormat="false" ht="22.35" hidden="false" customHeight="false" outlineLevel="0" collapsed="false">
      <c r="A6" s="26" t="s">
        <v>37</v>
      </c>
      <c r="B6" s="24" t="n">
        <f aca="false">SUMIF(Detail!$A:$A,$A6,Detail!$D:$D)</f>
        <v>10400</v>
      </c>
      <c r="C6" s="24" t="n">
        <f aca="false">SUMIF(Detail!$A:$A,$A6,Detail!$E:$E)</f>
        <v>20800</v>
      </c>
      <c r="D6" s="24" t="n">
        <f aca="false">SUMIF(Detail!$A:$A,$A6,Detail!$F:$F)</f>
        <v>65500</v>
      </c>
      <c r="E6" s="27" t="s">
        <v>38</v>
      </c>
    </row>
    <row r="7" customFormat="false" ht="15" hidden="false" customHeight="false" outlineLevel="0" collapsed="false">
      <c r="A7" s="28" t="s">
        <v>39</v>
      </c>
      <c r="B7" s="24" t="n">
        <f aca="false">SUMIF(Detail!$A:$A,$A7,Detail!$D:$D)</f>
        <v>1500</v>
      </c>
      <c r="C7" s="24" t="n">
        <f aca="false">SUMIF(Detail!$A:$A,$A7,Detail!$E:$E)</f>
        <v>2900</v>
      </c>
      <c r="D7" s="24" t="n">
        <f aca="false">SUMIF(Detail!$A:$A,$A7,Detail!$F:$F)</f>
        <v>5500</v>
      </c>
      <c r="E7" s="25" t="s">
        <v>40</v>
      </c>
    </row>
    <row r="8" customFormat="false" ht="15" hidden="false" customHeight="false" outlineLevel="0" collapsed="false">
      <c r="A8" s="29" t="s">
        <v>41</v>
      </c>
      <c r="B8" s="24" t="n">
        <f aca="false">SUMIF(Detail!$A:$A,$A8,Detail!$D:$D)</f>
        <v>1600</v>
      </c>
      <c r="C8" s="24" t="n">
        <f aca="false">SUMIF(Detail!$A:$A,$A8,Detail!$E:$E)</f>
        <v>3100</v>
      </c>
      <c r="D8" s="24" t="n">
        <f aca="false">SUMIF(Detail!$A:$A,$A8,Detail!$F:$F)</f>
        <v>5800</v>
      </c>
      <c r="E8" s="27" t="s">
        <v>42</v>
      </c>
    </row>
    <row r="9" customFormat="false" ht="15" hidden="false" customHeight="false" outlineLevel="0" collapsed="false">
      <c r="A9" s="28" t="s">
        <v>43</v>
      </c>
      <c r="B9" s="24" t="n">
        <f aca="false">SUMIF(Detail!$A:$A,$A9,Detail!$D:$D)</f>
        <v>1000</v>
      </c>
      <c r="C9" s="24" t="n">
        <f aca="false">SUMIF(Detail!$A:$A,$A9,Detail!$E:$E)</f>
        <v>2200</v>
      </c>
      <c r="D9" s="24" t="n">
        <f aca="false">SUMIF(Detail!$A:$A,$A9,Detail!$F:$F)</f>
        <v>4500</v>
      </c>
      <c r="E9" s="25" t="s">
        <v>44</v>
      </c>
    </row>
    <row r="10" customFormat="false" ht="15" hidden="false" customHeight="false" outlineLevel="0" collapsed="false">
      <c r="A10" s="29" t="s">
        <v>45</v>
      </c>
      <c r="B10" s="24" t="n">
        <f aca="false">SUMIF(Detail!$A:$A,$A10,Detail!$D:$D)</f>
        <v>7000</v>
      </c>
      <c r="C10" s="24" t="n">
        <f aca="false">SUMIF(Detail!$A:$A,$A10,Detail!$E:$E)</f>
        <v>10700</v>
      </c>
      <c r="D10" s="24" t="n">
        <f aca="false">SUMIF(Detail!$A:$A,$A10,Detail!$F:$F)</f>
        <v>16300</v>
      </c>
      <c r="E10" s="27" t="s">
        <v>46</v>
      </c>
    </row>
    <row r="11" customFormat="false" ht="15" hidden="false" customHeight="false" outlineLevel="0" collapsed="false">
      <c r="A11" s="28" t="s">
        <v>47</v>
      </c>
      <c r="B11" s="24" t="n">
        <f aca="false">SUMIF(Detail!$A:$A,$A11,Detail!$D:$D)</f>
        <v>700</v>
      </c>
      <c r="C11" s="24" t="n">
        <f aca="false">SUMIF(Detail!$A:$A,$A11,Detail!$E:$E)</f>
        <v>2150</v>
      </c>
      <c r="D11" s="24" t="n">
        <f aca="false">SUMIF(Detail!$A:$A,$A11,Detail!$F:$F)</f>
        <v>5000</v>
      </c>
      <c r="E11" s="25" t="s">
        <v>48</v>
      </c>
    </row>
    <row r="12" customFormat="false" ht="15" hidden="false" customHeight="false" outlineLevel="0" collapsed="false">
      <c r="A12" s="29" t="s">
        <v>49</v>
      </c>
      <c r="B12" s="24" t="n">
        <f aca="false">SUMIF(Detail!$A:$A,$A12,Detail!$D:$D)</f>
        <v>1000</v>
      </c>
      <c r="C12" s="24" t="n">
        <f aca="false">SUMIF(Detail!$A:$A,$A12,Detail!$E:$E)</f>
        <v>2000</v>
      </c>
      <c r="D12" s="24" t="n">
        <f aca="false">SUMIF(Detail!$A:$A,$A12,Detail!$F:$F)</f>
        <v>3600</v>
      </c>
      <c r="E12" s="27" t="s">
        <v>50</v>
      </c>
    </row>
    <row r="13" customFormat="false" ht="15" hidden="false" customHeight="false" outlineLevel="0" collapsed="false">
      <c r="A13" s="28" t="s">
        <v>51</v>
      </c>
      <c r="B13" s="24" t="n">
        <f aca="false">SUMIF(Detail!$A:$A,$A13,Detail!$D:$D)</f>
        <v>2000</v>
      </c>
      <c r="C13" s="24" t="n">
        <f aca="false">SUMIF(Detail!$A:$A,$A13,Detail!$E:$E)</f>
        <v>4500</v>
      </c>
      <c r="D13" s="24" t="n">
        <f aca="false">SUMIF(Detail!$A:$A,$A13,Detail!$F:$F)</f>
        <v>9000</v>
      </c>
      <c r="E13" s="25" t="s">
        <v>52</v>
      </c>
    </row>
    <row r="14" customFormat="false" ht="15" hidden="false" customHeight="false" outlineLevel="0" collapsed="false">
      <c r="A14" s="29" t="s">
        <v>53</v>
      </c>
      <c r="B14" s="24" t="n">
        <f aca="false">SUMIF(Detail!$A:$A,$A14,Detail!$D:$D)</f>
        <v>1900</v>
      </c>
      <c r="C14" s="24" t="n">
        <f aca="false">SUMIF(Detail!$A:$A,$A14,Detail!$E:$E)</f>
        <v>5100</v>
      </c>
      <c r="D14" s="24" t="n">
        <f aca="false">SUMIF(Detail!$A:$A,$A14,Detail!$F:$F)</f>
        <v>11500</v>
      </c>
      <c r="E14" s="27" t="s">
        <v>54</v>
      </c>
    </row>
    <row r="16" customFormat="false" ht="15" hidden="false" customHeight="false" outlineLevel="0" collapsed="false">
      <c r="A16" s="30" t="s">
        <v>55</v>
      </c>
      <c r="B16" s="31" t="n">
        <f aca="false">SUM(B5:B6)</f>
        <v>27800</v>
      </c>
      <c r="C16" s="31" t="n">
        <f aca="false">SUM(C5:C6)</f>
        <v>51500</v>
      </c>
      <c r="D16" s="31" t="n">
        <f aca="false">SUM(D5:D6)</f>
        <v>116000</v>
      </c>
      <c r="E16" s="32"/>
    </row>
    <row r="17" customFormat="false" ht="15" hidden="false" customHeight="false" outlineLevel="0" collapsed="false">
      <c r="A17" s="30" t="s">
        <v>56</v>
      </c>
      <c r="B17" s="31" t="n">
        <f aca="false">SUM(B7:B14)</f>
        <v>16700</v>
      </c>
      <c r="C17" s="31" t="n">
        <f aca="false">SUM(C7:C14)</f>
        <v>32650</v>
      </c>
      <c r="D17" s="31" t="n">
        <f aca="false">SUM(D7:D14)</f>
        <v>61200</v>
      </c>
      <c r="E17" s="32"/>
    </row>
    <row r="18" customFormat="false" ht="15" hidden="false" customHeight="false" outlineLevel="0" collapsed="false">
      <c r="A18" s="33" t="s">
        <v>57</v>
      </c>
      <c r="B18" s="34" t="n">
        <f aca="false">B17*$F$18</f>
        <v>2505</v>
      </c>
      <c r="C18" s="34" t="n">
        <f aca="false">C17*$F$18</f>
        <v>4897.5</v>
      </c>
      <c r="D18" s="34" t="n">
        <f aca="false">D17*$F$18</f>
        <v>9180</v>
      </c>
      <c r="F18" s="7" t="n">
        <v>0.15</v>
      </c>
    </row>
    <row r="19" customFormat="false" ht="15" hidden="false" customHeight="false" outlineLevel="0" collapsed="false">
      <c r="A19" s="14" t="s">
        <v>58</v>
      </c>
      <c r="B19" s="16" t="n">
        <f aca="false">B16+B17+B18</f>
        <v>47005</v>
      </c>
      <c r="C19" s="16" t="n">
        <f aca="false">C16+C17+C18</f>
        <v>89047.5</v>
      </c>
      <c r="D19" s="16" t="n">
        <f aca="false">D16+D17+D18</f>
        <v>186380</v>
      </c>
      <c r="E19" s="15"/>
    </row>
    <row r="22" customFormat="false" ht="15" hidden="false" customHeight="false" outlineLevel="0" collapsed="false">
      <c r="A22" s="35" t="s">
        <v>59</v>
      </c>
      <c r="B22" s="35"/>
      <c r="C22" s="35"/>
      <c r="D22" s="35"/>
      <c r="E22" s="35"/>
    </row>
    <row r="23" customFormat="false" ht="15" hidden="false" customHeight="false" outlineLevel="0" collapsed="false">
      <c r="A23" s="33" t="s">
        <v>60</v>
      </c>
      <c r="C23" s="7" t="n">
        <v>0.85</v>
      </c>
      <c r="E23" s="36" t="s">
        <v>61</v>
      </c>
    </row>
    <row r="24" customFormat="false" ht="15" hidden="false" customHeight="false" outlineLevel="0" collapsed="false">
      <c r="A24" s="3" t="s">
        <v>62</v>
      </c>
      <c r="C24" s="37" t="n">
        <f aca="false">C16*C23</f>
        <v>43775</v>
      </c>
    </row>
    <row r="25" customFormat="false" ht="15" hidden="false" customHeight="false" outlineLevel="0" collapsed="false">
      <c r="A25" s="38" t="s">
        <v>63</v>
      </c>
      <c r="B25" s="39"/>
      <c r="C25" s="40" t="n">
        <f aca="false">C19-C24</f>
        <v>45272.5</v>
      </c>
      <c r="D25" s="39"/>
      <c r="E25" s="39"/>
    </row>
    <row r="28" customFormat="false" ht="15" hidden="false" customHeight="true" outlineLevel="0" collapsed="false">
      <c r="A28" s="20" t="s">
        <v>64</v>
      </c>
      <c r="B28" s="20"/>
      <c r="C28" s="20"/>
      <c r="D28" s="20"/>
      <c r="E28" s="20"/>
    </row>
    <row r="29" customFormat="false" ht="15" hidden="false" customHeight="false" outlineLevel="0" collapsed="false">
      <c r="A29" s="20"/>
      <c r="B29" s="20"/>
      <c r="C29" s="20"/>
      <c r="D29" s="20"/>
      <c r="E29" s="20"/>
    </row>
    <row r="30" customFormat="false" ht="15" hidden="false" customHeight="false" outlineLevel="0" collapsed="false">
      <c r="A30" s="20"/>
      <c r="B30" s="20"/>
      <c r="C30" s="20"/>
      <c r="D30" s="20"/>
      <c r="E30" s="20"/>
    </row>
    <row r="31" customFormat="false" ht="15" hidden="false" customHeight="false" outlineLevel="0" collapsed="false">
      <c r="A31" s="20"/>
      <c r="B31" s="20"/>
      <c r="C31" s="20"/>
      <c r="D31" s="20"/>
      <c r="E31" s="20"/>
    </row>
    <row r="32" customFormat="false" ht="15" hidden="false" customHeight="false" outlineLevel="0" collapsed="false">
      <c r="A32" s="20"/>
      <c r="B32" s="20"/>
      <c r="C32" s="20"/>
      <c r="D32" s="20"/>
      <c r="E32" s="20"/>
    </row>
  </sheetData>
  <mergeCells count="4">
    <mergeCell ref="A1:E1"/>
    <mergeCell ref="A2:E2"/>
    <mergeCell ref="A22:E22"/>
    <mergeCell ref="A28: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50"/>
    <col collapsed="false" customWidth="true" hidden="false" outlineLevel="0" max="6" min="4" style="0" width="12"/>
  </cols>
  <sheetData>
    <row r="1" customFormat="false" ht="24" hidden="false" customHeight="true" outlineLevel="0" collapsed="false">
      <c r="A1" s="41" t="s">
        <v>65</v>
      </c>
      <c r="B1" s="41"/>
      <c r="C1" s="41"/>
      <c r="D1" s="41"/>
      <c r="E1" s="41"/>
      <c r="F1" s="41"/>
    </row>
    <row r="2" customFormat="false" ht="15" hidden="false" customHeight="false" outlineLevel="0" collapsed="false">
      <c r="A2" s="22" t="s">
        <v>66</v>
      </c>
      <c r="B2" s="22"/>
      <c r="C2" s="22"/>
      <c r="D2" s="22"/>
      <c r="E2" s="22"/>
      <c r="F2" s="22"/>
    </row>
    <row r="3" customFormat="false" ht="15" hidden="false" customHeight="false" outlineLevel="0" collapsed="false">
      <c r="A3" s="17" t="s">
        <v>30</v>
      </c>
      <c r="B3" s="17" t="s">
        <v>67</v>
      </c>
      <c r="C3" s="17" t="s">
        <v>68</v>
      </c>
      <c r="D3" s="17" t="s">
        <v>31</v>
      </c>
      <c r="E3" s="17" t="s">
        <v>32</v>
      </c>
      <c r="F3" s="17" t="s">
        <v>33</v>
      </c>
    </row>
    <row r="4" customFormat="false" ht="15" hidden="false" customHeight="false" outlineLevel="0" collapsed="false">
      <c r="A4" s="42" t="s">
        <v>35</v>
      </c>
      <c r="B4" s="28" t="s">
        <v>69</v>
      </c>
      <c r="C4" s="43" t="s">
        <v>70</v>
      </c>
      <c r="D4" s="44" t="n">
        <v>15000</v>
      </c>
      <c r="E4" s="44" t="n">
        <v>26000</v>
      </c>
      <c r="F4" s="44" t="n">
        <v>42000</v>
      </c>
    </row>
    <row r="5" customFormat="false" ht="15" hidden="false" customHeight="false" outlineLevel="0" collapsed="false">
      <c r="A5" s="45" t="s">
        <v>35</v>
      </c>
      <c r="B5" s="29" t="s">
        <v>71</v>
      </c>
      <c r="C5" s="46" t="s">
        <v>72</v>
      </c>
      <c r="D5" s="47" t="n">
        <v>1200</v>
      </c>
      <c r="E5" s="47" t="n">
        <v>2200</v>
      </c>
      <c r="F5" s="47" t="n">
        <v>3500</v>
      </c>
    </row>
    <row r="6" customFormat="false" ht="15" hidden="false" customHeight="false" outlineLevel="0" collapsed="false">
      <c r="A6" s="42" t="s">
        <v>35</v>
      </c>
      <c r="B6" s="28" t="s">
        <v>73</v>
      </c>
      <c r="C6" s="43"/>
      <c r="D6" s="44" t="n">
        <v>1200</v>
      </c>
      <c r="E6" s="44" t="n">
        <v>2500</v>
      </c>
      <c r="F6" s="44" t="n">
        <v>5000</v>
      </c>
    </row>
    <row r="7" customFormat="false" ht="15" hidden="false" customHeight="false" outlineLevel="0" collapsed="false">
      <c r="A7" s="45" t="s">
        <v>37</v>
      </c>
      <c r="B7" s="29" t="s">
        <v>74</v>
      </c>
      <c r="C7" s="46" t="s">
        <v>75</v>
      </c>
      <c r="D7" s="47" t="n">
        <v>1000</v>
      </c>
      <c r="E7" s="47" t="n">
        <v>3500</v>
      </c>
      <c r="F7" s="47" t="n">
        <v>9000</v>
      </c>
    </row>
    <row r="8" customFormat="false" ht="15" hidden="false" customHeight="false" outlineLevel="0" collapsed="false">
      <c r="A8" s="42" t="s">
        <v>37</v>
      </c>
      <c r="B8" s="28" t="s">
        <v>76</v>
      </c>
      <c r="C8" s="43"/>
      <c r="D8" s="44" t="n">
        <v>0</v>
      </c>
      <c r="E8" s="44" t="n">
        <v>1500</v>
      </c>
      <c r="F8" s="44" t="n">
        <v>7000</v>
      </c>
    </row>
    <row r="9" customFormat="false" ht="15" hidden="false" customHeight="false" outlineLevel="0" collapsed="false">
      <c r="A9" s="45" t="s">
        <v>37</v>
      </c>
      <c r="B9" s="29" t="s">
        <v>77</v>
      </c>
      <c r="C9" s="46" t="s">
        <v>78</v>
      </c>
      <c r="D9" s="47" t="n">
        <v>2000</v>
      </c>
      <c r="E9" s="47" t="n">
        <v>3500</v>
      </c>
      <c r="F9" s="47" t="n">
        <v>6000</v>
      </c>
    </row>
    <row r="10" customFormat="false" ht="15" hidden="false" customHeight="false" outlineLevel="0" collapsed="false">
      <c r="A10" s="42" t="s">
        <v>37</v>
      </c>
      <c r="B10" s="28" t="s">
        <v>79</v>
      </c>
      <c r="C10" s="43"/>
      <c r="D10" s="44" t="n">
        <v>1200</v>
      </c>
      <c r="E10" s="44" t="n">
        <v>1800</v>
      </c>
      <c r="F10" s="44" t="n">
        <v>4000</v>
      </c>
    </row>
    <row r="11" customFormat="false" ht="15" hidden="false" customHeight="false" outlineLevel="0" collapsed="false">
      <c r="A11" s="45" t="s">
        <v>37</v>
      </c>
      <c r="B11" s="29" t="s">
        <v>80</v>
      </c>
      <c r="C11" s="46" t="s">
        <v>81</v>
      </c>
      <c r="D11" s="47" t="n">
        <v>1000</v>
      </c>
      <c r="E11" s="47" t="n">
        <v>1200</v>
      </c>
      <c r="F11" s="47" t="n">
        <v>4500</v>
      </c>
    </row>
    <row r="12" customFormat="false" ht="15" hidden="false" customHeight="false" outlineLevel="0" collapsed="false">
      <c r="A12" s="42" t="s">
        <v>37</v>
      </c>
      <c r="B12" s="28" t="s">
        <v>82</v>
      </c>
      <c r="C12" s="43" t="s">
        <v>83</v>
      </c>
      <c r="D12" s="44" t="n">
        <v>300</v>
      </c>
      <c r="E12" s="44" t="n">
        <v>800</v>
      </c>
      <c r="F12" s="44" t="n">
        <v>8000</v>
      </c>
    </row>
    <row r="13" customFormat="false" ht="15" hidden="false" customHeight="false" outlineLevel="0" collapsed="false">
      <c r="A13" s="45" t="s">
        <v>37</v>
      </c>
      <c r="B13" s="29" t="s">
        <v>84</v>
      </c>
      <c r="C13" s="46" t="s">
        <v>85</v>
      </c>
      <c r="D13" s="47" t="n">
        <v>800</v>
      </c>
      <c r="E13" s="47" t="n">
        <v>1500</v>
      </c>
      <c r="F13" s="47" t="n">
        <v>7000</v>
      </c>
    </row>
    <row r="14" customFormat="false" ht="15" hidden="false" customHeight="false" outlineLevel="0" collapsed="false">
      <c r="A14" s="42" t="s">
        <v>37</v>
      </c>
      <c r="B14" s="28" t="s">
        <v>86</v>
      </c>
      <c r="C14" s="43"/>
      <c r="D14" s="44" t="n">
        <v>800</v>
      </c>
      <c r="E14" s="44" t="n">
        <v>1800</v>
      </c>
      <c r="F14" s="44" t="n">
        <v>3500</v>
      </c>
    </row>
    <row r="15" customFormat="false" ht="15" hidden="false" customHeight="false" outlineLevel="0" collapsed="false">
      <c r="A15" s="45" t="s">
        <v>37</v>
      </c>
      <c r="B15" s="29" t="s">
        <v>87</v>
      </c>
      <c r="C15" s="46" t="s">
        <v>88</v>
      </c>
      <c r="D15" s="47" t="n">
        <v>1500</v>
      </c>
      <c r="E15" s="47" t="n">
        <v>2000</v>
      </c>
      <c r="F15" s="47" t="n">
        <v>8000</v>
      </c>
    </row>
    <row r="16" customFormat="false" ht="15" hidden="false" customHeight="false" outlineLevel="0" collapsed="false">
      <c r="A16" s="42" t="s">
        <v>37</v>
      </c>
      <c r="B16" s="28" t="s">
        <v>89</v>
      </c>
      <c r="C16" s="43" t="s">
        <v>90</v>
      </c>
      <c r="D16" s="44" t="n">
        <v>800</v>
      </c>
      <c r="E16" s="44" t="n">
        <v>1200</v>
      </c>
      <c r="F16" s="44" t="n">
        <v>4500</v>
      </c>
    </row>
    <row r="17" customFormat="false" ht="15" hidden="false" customHeight="false" outlineLevel="0" collapsed="false">
      <c r="A17" s="45" t="s">
        <v>37</v>
      </c>
      <c r="B17" s="29" t="s">
        <v>91</v>
      </c>
      <c r="C17" s="46"/>
      <c r="D17" s="47" t="n">
        <v>1000</v>
      </c>
      <c r="E17" s="47" t="n">
        <v>2000</v>
      </c>
      <c r="F17" s="47" t="n">
        <v>4000</v>
      </c>
    </row>
    <row r="18" customFormat="false" ht="22.35" hidden="false" customHeight="false" outlineLevel="0" collapsed="false">
      <c r="A18" s="42" t="s">
        <v>39</v>
      </c>
      <c r="B18" s="28" t="s">
        <v>92</v>
      </c>
      <c r="C18" s="43" t="s">
        <v>93</v>
      </c>
      <c r="D18" s="44" t="n">
        <v>300</v>
      </c>
      <c r="E18" s="44" t="n">
        <v>700</v>
      </c>
      <c r="F18" s="44" t="n">
        <v>1500</v>
      </c>
    </row>
    <row r="19" customFormat="false" ht="15" hidden="false" customHeight="false" outlineLevel="0" collapsed="false">
      <c r="A19" s="45" t="s">
        <v>39</v>
      </c>
      <c r="B19" s="29" t="s">
        <v>94</v>
      </c>
      <c r="C19" s="46" t="s">
        <v>95</v>
      </c>
      <c r="D19" s="47" t="n">
        <v>1200</v>
      </c>
      <c r="E19" s="47" t="n">
        <v>2200</v>
      </c>
      <c r="F19" s="47" t="n">
        <v>4000</v>
      </c>
    </row>
    <row r="20" customFormat="false" ht="15" hidden="false" customHeight="false" outlineLevel="0" collapsed="false">
      <c r="A20" s="42" t="s">
        <v>41</v>
      </c>
      <c r="B20" s="28" t="s">
        <v>96</v>
      </c>
      <c r="C20" s="43"/>
      <c r="D20" s="44" t="n">
        <v>1200</v>
      </c>
      <c r="E20" s="44" t="n">
        <v>2200</v>
      </c>
      <c r="F20" s="44" t="n">
        <v>4000</v>
      </c>
    </row>
    <row r="21" customFormat="false" ht="15" hidden="false" customHeight="false" outlineLevel="0" collapsed="false">
      <c r="A21" s="45" t="s">
        <v>41</v>
      </c>
      <c r="B21" s="29" t="s">
        <v>97</v>
      </c>
      <c r="C21" s="46"/>
      <c r="D21" s="47" t="n">
        <v>400</v>
      </c>
      <c r="E21" s="47" t="n">
        <v>900</v>
      </c>
      <c r="F21" s="47" t="n">
        <v>1800</v>
      </c>
    </row>
    <row r="22" customFormat="false" ht="15" hidden="false" customHeight="false" outlineLevel="0" collapsed="false">
      <c r="A22" s="42" t="s">
        <v>43</v>
      </c>
      <c r="B22" s="28" t="s">
        <v>98</v>
      </c>
      <c r="C22" s="43"/>
      <c r="D22" s="44" t="n">
        <v>1000</v>
      </c>
      <c r="E22" s="44" t="n">
        <v>2200</v>
      </c>
      <c r="F22" s="44" t="n">
        <v>4500</v>
      </c>
    </row>
    <row r="23" customFormat="false" ht="15" hidden="false" customHeight="false" outlineLevel="0" collapsed="false">
      <c r="A23" s="45" t="s">
        <v>45</v>
      </c>
      <c r="B23" s="29" t="s">
        <v>99</v>
      </c>
      <c r="C23" s="46" t="s">
        <v>100</v>
      </c>
      <c r="D23" s="47" t="n">
        <v>6000</v>
      </c>
      <c r="E23" s="47" t="n">
        <v>8500</v>
      </c>
      <c r="F23" s="47" t="n">
        <v>12000</v>
      </c>
    </row>
    <row r="24" customFormat="false" ht="15" hidden="false" customHeight="false" outlineLevel="0" collapsed="false">
      <c r="A24" s="42" t="s">
        <v>45</v>
      </c>
      <c r="B24" s="28" t="s">
        <v>101</v>
      </c>
      <c r="C24" s="43"/>
      <c r="D24" s="44" t="n">
        <v>800</v>
      </c>
      <c r="E24" s="44" t="n">
        <v>1800</v>
      </c>
      <c r="F24" s="44" t="n">
        <v>3500</v>
      </c>
    </row>
    <row r="25" customFormat="false" ht="15" hidden="false" customHeight="false" outlineLevel="0" collapsed="false">
      <c r="A25" s="45" t="s">
        <v>45</v>
      </c>
      <c r="B25" s="29" t="s">
        <v>102</v>
      </c>
      <c r="C25" s="46"/>
      <c r="D25" s="47" t="n">
        <v>200</v>
      </c>
      <c r="E25" s="47" t="n">
        <v>400</v>
      </c>
      <c r="F25" s="47" t="n">
        <v>800</v>
      </c>
    </row>
    <row r="26" customFormat="false" ht="15" hidden="false" customHeight="false" outlineLevel="0" collapsed="false">
      <c r="A26" s="42" t="s">
        <v>47</v>
      </c>
      <c r="B26" s="28" t="s">
        <v>103</v>
      </c>
      <c r="C26" s="43" t="s">
        <v>104</v>
      </c>
      <c r="D26" s="44" t="n">
        <v>200</v>
      </c>
      <c r="E26" s="44" t="n">
        <v>500</v>
      </c>
      <c r="F26" s="44" t="n">
        <v>1200</v>
      </c>
    </row>
    <row r="27" customFormat="false" ht="15" hidden="false" customHeight="false" outlineLevel="0" collapsed="false">
      <c r="A27" s="45" t="s">
        <v>47</v>
      </c>
      <c r="B27" s="29" t="s">
        <v>105</v>
      </c>
      <c r="C27" s="46" t="s">
        <v>106</v>
      </c>
      <c r="D27" s="47" t="n">
        <v>0</v>
      </c>
      <c r="E27" s="47" t="n">
        <v>500</v>
      </c>
      <c r="F27" s="47" t="n">
        <v>1500</v>
      </c>
    </row>
    <row r="28" customFormat="false" ht="15" hidden="false" customHeight="false" outlineLevel="0" collapsed="false">
      <c r="A28" s="42" t="s">
        <v>47</v>
      </c>
      <c r="B28" s="28" t="s">
        <v>107</v>
      </c>
      <c r="C28" s="43" t="s">
        <v>108</v>
      </c>
      <c r="D28" s="44" t="n">
        <v>200</v>
      </c>
      <c r="E28" s="44" t="n">
        <v>450</v>
      </c>
      <c r="F28" s="44" t="n">
        <v>1000</v>
      </c>
    </row>
    <row r="29" customFormat="false" ht="15" hidden="false" customHeight="false" outlineLevel="0" collapsed="false">
      <c r="A29" s="45" t="s">
        <v>47</v>
      </c>
      <c r="B29" s="29" t="s">
        <v>109</v>
      </c>
      <c r="C29" s="46" t="s">
        <v>110</v>
      </c>
      <c r="D29" s="47" t="n">
        <v>300</v>
      </c>
      <c r="E29" s="47" t="n">
        <v>700</v>
      </c>
      <c r="F29" s="47" t="n">
        <v>1300</v>
      </c>
    </row>
    <row r="30" customFormat="false" ht="15" hidden="false" customHeight="false" outlineLevel="0" collapsed="false">
      <c r="A30" s="42" t="s">
        <v>49</v>
      </c>
      <c r="B30" s="28" t="s">
        <v>111</v>
      </c>
      <c r="C30" s="43" t="s">
        <v>112</v>
      </c>
      <c r="D30" s="44" t="n">
        <v>800</v>
      </c>
      <c r="E30" s="44" t="n">
        <v>1500</v>
      </c>
      <c r="F30" s="44" t="n">
        <v>2400</v>
      </c>
    </row>
    <row r="31" customFormat="false" ht="15" hidden="false" customHeight="false" outlineLevel="0" collapsed="false">
      <c r="A31" s="45" t="s">
        <v>49</v>
      </c>
      <c r="B31" s="29" t="s">
        <v>113</v>
      </c>
      <c r="C31" s="46"/>
      <c r="D31" s="47" t="n">
        <v>200</v>
      </c>
      <c r="E31" s="47" t="n">
        <v>500</v>
      </c>
      <c r="F31" s="47" t="n">
        <v>1200</v>
      </c>
    </row>
    <row r="32" customFormat="false" ht="15" hidden="false" customHeight="false" outlineLevel="0" collapsed="false">
      <c r="A32" s="42" t="s">
        <v>51</v>
      </c>
      <c r="B32" s="28" t="s">
        <v>114</v>
      </c>
      <c r="C32" s="43" t="s">
        <v>115</v>
      </c>
      <c r="D32" s="44" t="n">
        <v>2000</v>
      </c>
      <c r="E32" s="44" t="n">
        <v>4500</v>
      </c>
      <c r="F32" s="44" t="n">
        <v>9000</v>
      </c>
    </row>
    <row r="33" customFormat="false" ht="15" hidden="false" customHeight="false" outlineLevel="0" collapsed="false">
      <c r="A33" s="45" t="s">
        <v>53</v>
      </c>
      <c r="B33" s="29" t="s">
        <v>116</v>
      </c>
      <c r="C33" s="46"/>
      <c r="D33" s="47" t="n">
        <v>600</v>
      </c>
      <c r="E33" s="47" t="n">
        <v>1800</v>
      </c>
      <c r="F33" s="47" t="n">
        <v>4000</v>
      </c>
    </row>
    <row r="34" customFormat="false" ht="15" hidden="false" customHeight="false" outlineLevel="0" collapsed="false">
      <c r="A34" s="42" t="s">
        <v>53</v>
      </c>
      <c r="B34" s="28" t="s">
        <v>117</v>
      </c>
      <c r="C34" s="43"/>
      <c r="D34" s="44" t="n">
        <v>400</v>
      </c>
      <c r="E34" s="44" t="n">
        <v>1200</v>
      </c>
      <c r="F34" s="44" t="n">
        <v>3000</v>
      </c>
    </row>
    <row r="35" customFormat="false" ht="15" hidden="false" customHeight="false" outlineLevel="0" collapsed="false">
      <c r="A35" s="45" t="s">
        <v>53</v>
      </c>
      <c r="B35" s="29" t="s">
        <v>118</v>
      </c>
      <c r="C35" s="46"/>
      <c r="D35" s="47" t="n">
        <v>600</v>
      </c>
      <c r="E35" s="47" t="n">
        <v>1400</v>
      </c>
      <c r="F35" s="47" t="n">
        <v>3000</v>
      </c>
    </row>
    <row r="36" customFormat="false" ht="15" hidden="false" customHeight="false" outlineLevel="0" collapsed="false">
      <c r="A36" s="42" t="s">
        <v>53</v>
      </c>
      <c r="B36" s="28" t="s">
        <v>119</v>
      </c>
      <c r="C36" s="43"/>
      <c r="D36" s="44" t="n">
        <v>300</v>
      </c>
      <c r="E36" s="44" t="n">
        <v>700</v>
      </c>
      <c r="F36" s="44" t="n">
        <v>1500</v>
      </c>
    </row>
    <row r="37" customFormat="false" ht="15" hidden="false" customHeight="false" outlineLevel="0" collapsed="false">
      <c r="A37" s="48"/>
      <c r="B37" s="49" t="s">
        <v>120</v>
      </c>
      <c r="C37" s="48"/>
      <c r="D37" s="50" t="n">
        <f aca="false">SUM(D4:D36)</f>
        <v>44500</v>
      </c>
      <c r="E37" s="50" t="n">
        <f aca="false">SUM(E4:E36)</f>
        <v>84150</v>
      </c>
      <c r="F37" s="50" t="n">
        <f aca="false">SUM(F4:F36)</f>
        <v>177200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2026-06-10T03:57:59Z</dcterms:created>
  <dc:creator>openpyxl</dc:creator>
  <dc:description/>
  <dc:language>en-US</dc:language>
  <cp:lastModifiedBy/>
  <dcterms:modified xsi:type="dcterms:W3CDTF">2026-06-10T03:57:59Z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