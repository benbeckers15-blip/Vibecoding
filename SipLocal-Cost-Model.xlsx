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AI Concierge" sheetId="3" state="visible" r:id="rId5"/>
    <sheet name="Infrastructure" sheetId="4" state="visible" r:id="rId6"/>
    <sheet name="Fixed &amp; One-Ti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H3" authorId="0">
      <text>
        <r>
          <rPr>
            <sz val="10"/>
            <rFont val="Arial"/>
            <family val="2"/>
          </rPr>
          <t xml:space="preserve">$/turn = (input_tok×$in + output_tok×$out)/1e6 × frequency</t>
        </r>
      </text>
    </comment>
  </commentList>
</comments>
</file>

<file path=xl/sharedStrings.xml><?xml version="1.0" encoding="utf-8"?>
<sst xmlns="http://schemas.openxmlformats.org/spreadsheetml/2006/main" count="146" uniqueCount="132">
  <si>
    <t xml:space="preserve">SipLocal — Total Cost Summary  (1,000 users · 15 questions each · 73 active wineries)</t>
  </si>
  <si>
    <t xml:space="preserve">Line</t>
  </si>
  <si>
    <t xml:space="preserve">Monthly</t>
  </si>
  <si>
    <t xml:space="preserve">Annual</t>
  </si>
  <si>
    <t xml:space="preserve">Notes</t>
  </si>
  <si>
    <t xml:space="preserve">AI concierge (OpenAI + Voyage + Gemini)</t>
  </si>
  <si>
    <t xml:space="preserve">Routing, retrieval, rerank, response. Scales linearly with turns.</t>
  </si>
  <si>
    <t xml:space="preserve">Infrastructure (Firebase, Upstash, Maps, Vercel)</t>
  </si>
  <si>
    <t xml:space="preserve">Vercel $20/mo is the bulk; rest mostly free-tier.</t>
  </si>
  <si>
    <t xml:space="preserve">Total usage-based (recurring)</t>
  </si>
  <si>
    <t xml:space="preserve">Fixed annual (Apple + domain)</t>
  </si>
  <si>
    <t xml:space="preserve">Apple $99/yr + domain ~$15/yr.</t>
  </si>
  <si>
    <t xml:space="preserve">TOTAL RECURRING</t>
  </si>
  <si>
    <t xml:space="preserve">All-in running cost.</t>
  </si>
  <si>
    <t xml:space="preserve">One-time (year 1)</t>
  </si>
  <si>
    <t xml:space="preserve">Google Play $25 registration.</t>
  </si>
  <si>
    <t xml:space="preserve">FIRST-YEAR TOTAL</t>
  </si>
  <si>
    <t xml:space="preserve">Recurring + one-time.</t>
  </si>
  <si>
    <t xml:space="preserve">Per-user economics</t>
  </si>
  <si>
    <t xml:space="preserve">Cost per active user / month</t>
  </si>
  <si>
    <t xml:space="preserve">Cost per concierge question</t>
  </si>
  <si>
    <t xml:space="preserve">Watch-outs as you grow</t>
  </si>
  <si>
    <t xml:space="preserve">• 1,000 → 1,001 MAU triggers Expo EAS Production: +$199/mo. The single biggest step-change.</t>
  </si>
  <si>
    <t xml:space="preserve">• AI cost is ~linear: at 5,000 users (75k turns) AI ≈ 5× this; prompt caching softens it.</t>
  </si>
  <si>
    <t xml:space="preserve">• Maps free caps are 10k calls/SKU/mo — heavy itinerary usage tips into ~$5/1k.</t>
  </si>
  <si>
    <t xml:space="preserve">• Langfuse beyond its free tier adds ~$29/mo if you keep full tracing on.</t>
  </si>
  <si>
    <t xml:space="preserve">• Cloud Storage egress is the one Firebase line that grows with traffic; CDN caching keeps it small.</t>
  </si>
  <si>
    <t xml:space="preserve">SipLocal — Cost Model · Key Assumptions (edit the blue cells)</t>
  </si>
  <si>
    <t xml:space="preserve">Driver</t>
  </si>
  <si>
    <t xml:space="preserve">Value</t>
  </si>
  <si>
    <t xml:space="preserve">Active users per month</t>
  </si>
  <si>
    <t xml:space="preserve">Monthly active users across the app + website.</t>
  </si>
  <si>
    <t xml:space="preserve">Concierge questions per user / month</t>
  </si>
  <si>
    <t xml:space="preserve">AI sommelier turns per user per month.</t>
  </si>
  <si>
    <t xml:space="preserve">Concierge turns per month</t>
  </si>
  <si>
    <t xml:space="preserve">Users × questions. Drives all AI + Maps costs.</t>
  </si>
  <si>
    <t xml:space="preserve">Active wineries</t>
  </si>
  <si>
    <t xml:space="preserve">Wineries live in the ecosystem (concierge corpus size).</t>
  </si>
  <si>
    <t xml:space="preserve">Photo uploads per winery / month</t>
  </si>
  <si>
    <t xml:space="preserve">Portal photo uploads (events/wines/listing).</t>
  </si>
  <si>
    <t xml:space="preserve">Itinerary share of concierge turns</t>
  </si>
  <si>
    <t xml:space="preserve">Fraction of turns that build a route (hits Distance Matrix).</t>
  </si>
  <si>
    <t xml:space="preserve">Notes &amp; caveats</t>
  </si>
  <si>
    <t xml:space="preserve">• Period basis: all 'per month' figures assume the 1,000 users / 15 questions happen each month (steady state).</t>
  </si>
  <si>
    <t xml:space="preserve">• AI input tokens are priced as fresh (uncached). OpenAI prompt caching (10× cheaper cached input) realistically cuts AI ~25–40%.</t>
  </si>
  <si>
    <t xml:space="preserve">• AI token prices are from the project's own costTracker.ts (reviewed 2026-05): gpt-5.4-nano, gemini-2.5-flash, voyage-3-lite, rerank-lite-1.</t>
  </si>
  <si>
    <t xml:space="preserve">• BIGGEST CLIFF: Expo EAS 'Update' (OTA) free tier covers up to 1,000 MAU. Crossing 1,000 MAU forces the Production plan at $199/mo.</t>
  </si>
  <si>
    <t xml:space="preserve">• Mobile in-app maps (Maps SDK Android/iOS) are FREE &amp; unlimited. Only Distance Matrix / Directions are metered (10,000 free calls/SKU/mo).</t>
  </si>
  <si>
    <t xml:space="preserve">• Website is hosted on Vercel Pro ($20/mo, required for commercial use); steady-state Firestore reads are ~0 thanks to ISR caching.</t>
  </si>
  <si>
    <t xml:space="preserve">• Langfuse observability is OPTIONAL (the concierge runs without it). Free tier ~50k events/mo; ~$29/mo beyond.</t>
  </si>
  <si>
    <t xml:space="preserve">• Firebase Firestore / Cloud Functions / Storage sit almost entirely inside the free tier at this scale — Storage egress is the only real line.</t>
  </si>
  <si>
    <t xml:space="preserve">AI Concierge — per-turn pipeline cost</t>
  </si>
  <si>
    <t xml:space="preserve">Component</t>
  </si>
  <si>
    <t xml:space="preserve">Provider / Model</t>
  </si>
  <si>
    <t xml:space="preserve">Input tok/turn</t>
  </si>
  <si>
    <t xml:space="preserve">Output tok/turn</t>
  </si>
  <si>
    <t xml:space="preserve">$/1M input</t>
  </si>
  <si>
    <t xml:space="preserve">$/1M output</t>
  </si>
  <si>
    <t xml:space="preserve">Runs % of turns</t>
  </si>
  <si>
    <t xml:space="preserve">$ per turn</t>
  </si>
  <si>
    <t xml:space="preserve">Turns / mo</t>
  </si>
  <si>
    <t xml:space="preserve">Cost / mo</t>
  </si>
  <si>
    <t xml:space="preserve">Cost / yr</t>
  </si>
  <si>
    <t xml:space="preserve">Coreference resolve</t>
  </si>
  <si>
    <t xml:space="preserve">OpenAI gpt-5.4-nano</t>
  </si>
  <si>
    <t xml:space="preserve">Router / intent</t>
  </si>
  <si>
    <t xml:space="preserve">Query embeddings</t>
  </si>
  <si>
    <t xml:space="preserve">Voyage voyage-3-lite</t>
  </si>
  <si>
    <t xml:space="preserve">Rerank candidates</t>
  </si>
  <si>
    <t xml:space="preserve">Voyage rerank-lite-1</t>
  </si>
  <si>
    <t xml:space="preserve">Response generation</t>
  </si>
  <si>
    <t xml:space="preserve">Google gemini-2.5-flash</t>
  </si>
  <si>
    <t xml:space="preserve">AI subtotal</t>
  </si>
  <si>
    <t xml:space="preserve">Infrastructure &amp; Usage-Based Services (monthly)</t>
  </si>
  <si>
    <t xml:space="preserve">Service</t>
  </si>
  <si>
    <t xml:space="preserve">Pricing basis</t>
  </si>
  <si>
    <t xml:space="preserve">Unit price</t>
  </si>
  <si>
    <t xml:space="preserve">Usage / mo</t>
  </si>
  <si>
    <t xml:space="preserve">Free / mo</t>
  </si>
  <si>
    <t xml:space="preserve">Billable units</t>
  </si>
  <si>
    <t xml:space="preserve">Firestore reads</t>
  </si>
  <si>
    <t xml:space="preserve">per 100k reads</t>
  </si>
  <si>
    <t xml:space="preserve">≈1.8M reads/mo (mobile browsing; web uses ISR).</t>
  </si>
  <si>
    <t xml:space="preserve">Firestore writes</t>
  </si>
  <si>
    <t xml:space="preserve">per 100k writes</t>
  </si>
  <si>
    <t xml:space="preserve">Tastings, saves, portal edits. Well inside free tier.</t>
  </si>
  <si>
    <t xml:space="preserve">Firestore storage</t>
  </si>
  <si>
    <t xml:space="preserve">per GB-month</t>
  </si>
  <si>
    <t xml:space="preserve">Winery/user docs. &lt;1 GB.</t>
  </si>
  <si>
    <t xml:space="preserve">Cloud Storage — stored</t>
  </si>
  <si>
    <t xml:space="preserve">~433 images + winery growth. &lt;5 GB free.</t>
  </si>
  <si>
    <t xml:space="preserve">Cloud Storage — egress</t>
  </si>
  <si>
    <t xml:space="preserve">per GB</t>
  </si>
  <si>
    <t xml:space="preserve">Photo downloads; CDN/expo-image caching cuts this hard.</t>
  </si>
  <si>
    <t xml:space="preserve">Upstash Vector — ops</t>
  </si>
  <si>
    <t xml:space="preserve">per 100k ops</t>
  </si>
  <si>
    <t xml:space="preserve">~4 vector queries/turn. 10k/day free covers it.</t>
  </si>
  <si>
    <t xml:space="preserve">Upstash Vector — storage</t>
  </si>
  <si>
    <t xml:space="preserve">A few thousand 512-dim vectors.</t>
  </si>
  <si>
    <t xml:space="preserve">Google Distance Matrix</t>
  </si>
  <si>
    <t xml:space="preserve">per 1k calls</t>
  </si>
  <si>
    <t xml:space="preserve">Itinerary turns only (=turns×itinerary share).</t>
  </si>
  <si>
    <t xml:space="preserve">Google Directions</t>
  </si>
  <si>
    <t xml:space="preserve">Trip-route polylines in the app.</t>
  </si>
  <si>
    <t xml:space="preserve">Google Maps SDK (in-app maps)</t>
  </si>
  <si>
    <t xml:space="preserve">Mobile dynamic maps</t>
  </si>
  <si>
    <t xml:space="preserve">FREE &amp; unlimited (Android/iOS SDK).</t>
  </si>
  <si>
    <t xml:space="preserve">Cloud Functions (concierge)</t>
  </si>
  <si>
    <t xml:space="preserve">Invocations + compute</t>
  </si>
  <si>
    <t xml:space="preserve">15k calls + ~6s each — inside Gen2 free tier.</t>
  </si>
  <si>
    <t xml:space="preserve">Vercel — website hosting</t>
  </si>
  <si>
    <t xml:space="preserve">Pro plan (flat)</t>
  </si>
  <si>
    <t xml:space="preserve">$20/mo; required for commercial. Usage inside included credits.</t>
  </si>
  <si>
    <t xml:space="preserve">Langfuse (observability)</t>
  </si>
  <si>
    <t xml:space="preserve">Optional</t>
  </si>
  <si>
    <t xml:space="preserve">Free tier ~50k events/mo; ≈$29/mo beyond. Concierge runs without it.</t>
  </si>
  <si>
    <t xml:space="preserve">Infrastructure subtotal</t>
  </si>
  <si>
    <t xml:space="preserve">Fixed Annual &amp; One-Time Costs</t>
  </si>
  <si>
    <t xml:space="preserve">Item</t>
  </si>
  <si>
    <t xml:space="preserve">Type</t>
  </si>
  <si>
    <t xml:space="preserve">Amount</t>
  </si>
  <si>
    <t xml:space="preserve">Apple Developer Program</t>
  </si>
  <si>
    <t xml:space="preserve">Required to publish on the iOS App Store.</t>
  </si>
  <si>
    <t xml:space="preserve">Domain name (.app / .com)</t>
  </si>
  <si>
    <t xml:space="preserve">Typical registrar renewal.</t>
  </si>
  <si>
    <t xml:space="preserve">Google Play Console</t>
  </si>
  <si>
    <t xml:space="preserve">One-time</t>
  </si>
  <si>
    <t xml:space="preserve">0</t>
  </si>
  <si>
    <t xml:space="preserve">One-time registration (year 1 only).</t>
  </si>
  <si>
    <t xml:space="preserve">Expo EAS</t>
  </si>
  <si>
    <t xml:space="preserve">Free tier (15 iOS+15 Android builds, ≤1,000 MAU). $199/mo if exceeded.</t>
  </si>
  <si>
    <t xml:space="preserve">Annual recurring (fixed)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</si>
</sst>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\$#,##0.000000"/>
    <numFmt numFmtId="167" formatCode="#,##0"/>
    <numFmt numFmtId="168" formatCode="#,##0.0"/>
    <numFmt numFmtId="169" formatCode="0%"/>
    <numFmt numFmtId="170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48323"/>
        <bgColor rgb="FF339966"/>
      </patternFill>
    </fill>
    <fill>
      <patternFill patternType="solid">
        <fgColor rgb="FF1A201B"/>
        <bgColor rgb="FF333333"/>
      </patternFill>
    </fill>
    <fill>
      <patternFill patternType="solid">
        <fgColor rgb="FFE8EFE0"/>
        <bgColor rgb="FFFFFFFF"/>
      </patternFill>
    </fill>
    <fill>
      <patternFill patternType="solid">
        <fgColor rgb="FFC9E0B4"/>
        <bgColor rgb="FFCCCCCC"/>
      </patternFill>
    </fill>
    <fill>
      <patternFill patternType="solid">
        <fgColor rgb="FFFFF3B0"/>
        <bgColor rgb="FFE8EF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323"/>
      <rgbColor rgb="FF800080"/>
      <rgbColor rgb="FF008080"/>
      <rgbColor rgb="FFCCCCCC"/>
      <rgbColor rgb="FF808080"/>
      <rgbColor rgb="FF9999FF"/>
      <rgbColor rgb="FF993366"/>
      <rgbColor rgb="FFE8E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E0B4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A201B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52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f aca="false">'AI Concierge'!J9</f>
        <v>17.64975</v>
      </c>
      <c r="C4" s="4" t="n">
        <f aca="false">'AI Concierge'!J9*12</f>
        <v>211.797</v>
      </c>
      <c r="D4" s="5" t="s">
        <v>6</v>
      </c>
    </row>
    <row r="5" customFormat="false" ht="15" hidden="false" customHeight="false" outlineLevel="0" collapsed="false">
      <c r="A5" s="3" t="s">
        <v>7</v>
      </c>
      <c r="B5" s="4" t="n">
        <f aca="false">Infrastructure!G17</f>
        <v>23.255</v>
      </c>
      <c r="C5" s="4" t="n">
        <f aca="false">Infrastructure!G17*12</f>
        <v>279.06</v>
      </c>
      <c r="D5" s="5" t="s">
        <v>8</v>
      </c>
    </row>
    <row r="6" customFormat="false" ht="15" hidden="false" customHeight="false" outlineLevel="0" collapsed="false">
      <c r="A6" s="6" t="s">
        <v>9</v>
      </c>
      <c r="B6" s="7" t="n">
        <f aca="false">B4+B5</f>
        <v>40.90475</v>
      </c>
      <c r="C6" s="7" t="n">
        <f aca="false">C4+C5</f>
        <v>490.857</v>
      </c>
      <c r="D6" s="8"/>
    </row>
    <row r="7" customFormat="false" ht="15" hidden="false" customHeight="false" outlineLevel="0" collapsed="false">
      <c r="A7" s="3" t="s">
        <v>10</v>
      </c>
      <c r="B7" s="4" t="n">
        <f aca="false">'Fixed &amp; One-Time'!C9/12</f>
        <v>9.5</v>
      </c>
      <c r="C7" s="4" t="n">
        <f aca="false">'Fixed &amp; One-Time'!C9</f>
        <v>114</v>
      </c>
      <c r="D7" s="5" t="s">
        <v>11</v>
      </c>
    </row>
    <row r="8" customFormat="false" ht="15" hidden="false" customHeight="false" outlineLevel="0" collapsed="false">
      <c r="A8" s="9" t="s">
        <v>12</v>
      </c>
      <c r="B8" s="10" t="n">
        <f aca="false">B6+B7</f>
        <v>50.40475</v>
      </c>
      <c r="C8" s="10" t="n">
        <f aca="false">C6+C7</f>
        <v>604.857</v>
      </c>
      <c r="D8" s="11" t="s">
        <v>13</v>
      </c>
    </row>
    <row r="9" customFormat="false" ht="15" hidden="false" customHeight="false" outlineLevel="0" collapsed="false">
      <c r="A9" s="3" t="s">
        <v>14</v>
      </c>
      <c r="B9" s="12"/>
      <c r="C9" s="4" t="n">
        <f aca="false">'Fixed &amp; One-Time'!C10</f>
        <v>25</v>
      </c>
      <c r="D9" s="5" t="s">
        <v>15</v>
      </c>
    </row>
    <row r="10" customFormat="false" ht="15" hidden="false" customHeight="false" outlineLevel="0" collapsed="false">
      <c r="A10" s="9" t="s">
        <v>16</v>
      </c>
      <c r="B10" s="13"/>
      <c r="C10" s="10" t="n">
        <f aca="false">C8+C9</f>
        <v>629.857</v>
      </c>
      <c r="D10" s="11" t="s">
        <v>17</v>
      </c>
    </row>
    <row r="12" customFormat="false" ht="15" hidden="false" customHeight="false" outlineLevel="0" collapsed="false">
      <c r="A12" s="14" t="s">
        <v>18</v>
      </c>
    </row>
    <row r="13" customFormat="false" ht="15" hidden="false" customHeight="false" outlineLevel="0" collapsed="false">
      <c r="A13" s="3" t="s">
        <v>19</v>
      </c>
      <c r="B13" s="15" t="n">
        <f aca="false">B8/Assumptions!B4</f>
        <v>0.05040475</v>
      </c>
    </row>
    <row r="14" customFormat="false" ht="15" hidden="false" customHeight="false" outlineLevel="0" collapsed="false">
      <c r="A14" s="3" t="s">
        <v>20</v>
      </c>
      <c r="B14" s="15" t="n">
        <f aca="false">B4/Assumptions!B6</f>
        <v>0.00117665</v>
      </c>
    </row>
    <row r="16" customFormat="false" ht="15" hidden="false" customHeight="false" outlineLevel="0" collapsed="false">
      <c r="A16" s="14" t="s">
        <v>21</v>
      </c>
    </row>
    <row r="17" customFormat="false" ht="15" hidden="false" customHeight="true" outlineLevel="0" collapsed="false">
      <c r="A17" s="16" t="s">
        <v>22</v>
      </c>
      <c r="B17" s="16"/>
      <c r="C17" s="16"/>
      <c r="D17" s="16"/>
    </row>
    <row r="18" customFormat="false" ht="15" hidden="false" customHeight="true" outlineLevel="0" collapsed="false">
      <c r="A18" s="16" t="s">
        <v>23</v>
      </c>
      <c r="B18" s="16"/>
      <c r="C18" s="16"/>
      <c r="D18" s="16"/>
    </row>
    <row r="19" customFormat="false" ht="15" hidden="false" customHeight="true" outlineLevel="0" collapsed="false">
      <c r="A19" s="16" t="s">
        <v>24</v>
      </c>
      <c r="B19" s="16"/>
      <c r="C19" s="16"/>
      <c r="D19" s="16"/>
    </row>
    <row r="20" customFormat="false" ht="15" hidden="false" customHeight="true" outlineLevel="0" collapsed="false">
      <c r="A20" s="16" t="s">
        <v>25</v>
      </c>
      <c r="B20" s="16"/>
      <c r="C20" s="16"/>
      <c r="D20" s="16"/>
    </row>
    <row r="21" customFormat="false" ht="15" hidden="false" customHeight="true" outlineLevel="0" collapsed="false">
      <c r="A21" s="16" t="s">
        <v>26</v>
      </c>
      <c r="B21" s="16"/>
      <c r="C21" s="16"/>
      <c r="D21" s="16"/>
    </row>
  </sheetData>
  <mergeCells count="6">
    <mergeCell ref="A1:D1"/>
    <mergeCell ref="A17:D17"/>
    <mergeCell ref="A18:D18"/>
    <mergeCell ref="A19:D19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25.5" hidden="false" customHeight="true" outlineLevel="0" collapsed="false">
      <c r="A1" s="1" t="s">
        <v>27</v>
      </c>
      <c r="B1" s="1"/>
      <c r="C1" s="1"/>
    </row>
    <row r="3" customFormat="false" ht="15" hidden="false" customHeight="false" outlineLevel="0" collapsed="false">
      <c r="A3" s="2" t="s">
        <v>28</v>
      </c>
      <c r="B3" s="2" t="s">
        <v>29</v>
      </c>
      <c r="C3" s="2" t="s">
        <v>4</v>
      </c>
    </row>
    <row r="4" customFormat="false" ht="15" hidden="false" customHeight="false" outlineLevel="0" collapsed="false">
      <c r="A4" s="3" t="s">
        <v>30</v>
      </c>
      <c r="B4" s="17" t="n">
        <v>1000</v>
      </c>
      <c r="C4" s="18" t="s">
        <v>31</v>
      </c>
    </row>
    <row r="5" customFormat="false" ht="15" hidden="false" customHeight="false" outlineLevel="0" collapsed="false">
      <c r="A5" s="3" t="s">
        <v>32</v>
      </c>
      <c r="B5" s="17" t="n">
        <v>15</v>
      </c>
      <c r="C5" s="18" t="s">
        <v>33</v>
      </c>
    </row>
    <row r="6" customFormat="false" ht="15" hidden="false" customHeight="false" outlineLevel="0" collapsed="false">
      <c r="A6" s="3" t="s">
        <v>34</v>
      </c>
      <c r="B6" s="19" t="n">
        <f aca="false">B4*B5</f>
        <v>15000</v>
      </c>
      <c r="C6" s="18" t="s">
        <v>35</v>
      </c>
    </row>
    <row r="7" customFormat="false" ht="15" hidden="false" customHeight="false" outlineLevel="0" collapsed="false">
      <c r="A7" s="3" t="s">
        <v>36</v>
      </c>
      <c r="B7" s="17" t="n">
        <v>73</v>
      </c>
      <c r="C7" s="18" t="s">
        <v>37</v>
      </c>
    </row>
    <row r="8" customFormat="false" ht="15" hidden="false" customHeight="false" outlineLevel="0" collapsed="false">
      <c r="A8" s="3" t="s">
        <v>38</v>
      </c>
      <c r="B8" s="20" t="n">
        <v>2.5</v>
      </c>
      <c r="C8" s="18" t="s">
        <v>39</v>
      </c>
    </row>
    <row r="9" customFormat="false" ht="15" hidden="false" customHeight="false" outlineLevel="0" collapsed="false">
      <c r="A9" s="3" t="s">
        <v>40</v>
      </c>
      <c r="B9" s="21" t="n">
        <v>0.2</v>
      </c>
      <c r="C9" s="18" t="s">
        <v>41</v>
      </c>
    </row>
    <row r="11" customFormat="false" ht="15" hidden="false" customHeight="false" outlineLevel="0" collapsed="false">
      <c r="A11" s="14" t="s">
        <v>42</v>
      </c>
    </row>
    <row r="12" customFormat="false" ht="15" hidden="false" customHeight="true" outlineLevel="0" collapsed="false">
      <c r="A12" s="16" t="s">
        <v>43</v>
      </c>
      <c r="B12" s="16"/>
      <c r="C12" s="16"/>
    </row>
    <row r="13" customFormat="false" ht="15" hidden="false" customHeight="true" outlineLevel="0" collapsed="false">
      <c r="A13" s="16" t="s">
        <v>44</v>
      </c>
      <c r="B13" s="16"/>
      <c r="C13" s="16"/>
    </row>
    <row r="14" customFormat="false" ht="15" hidden="false" customHeight="true" outlineLevel="0" collapsed="false">
      <c r="A14" s="16" t="s">
        <v>45</v>
      </c>
      <c r="B14" s="16"/>
      <c r="C14" s="16"/>
    </row>
    <row r="15" customFormat="false" ht="15" hidden="false" customHeight="true" outlineLevel="0" collapsed="false">
      <c r="A15" s="16" t="s">
        <v>46</v>
      </c>
      <c r="B15" s="16"/>
      <c r="C15" s="16"/>
    </row>
    <row r="16" customFormat="false" ht="15" hidden="false" customHeight="true" outlineLevel="0" collapsed="false">
      <c r="A16" s="16" t="s">
        <v>47</v>
      </c>
      <c r="B16" s="16"/>
      <c r="C16" s="16"/>
    </row>
    <row r="17" customFormat="false" ht="15" hidden="false" customHeight="true" outlineLevel="0" collapsed="false">
      <c r="A17" s="16" t="s">
        <v>48</v>
      </c>
      <c r="B17" s="16"/>
      <c r="C17" s="16"/>
    </row>
    <row r="18" customFormat="false" ht="15" hidden="false" customHeight="true" outlineLevel="0" collapsed="false">
      <c r="A18" s="16" t="s">
        <v>49</v>
      </c>
      <c r="B18" s="16"/>
      <c r="C18" s="16"/>
    </row>
    <row r="19" customFormat="false" ht="15" hidden="false" customHeight="true" outlineLevel="0" collapsed="false">
      <c r="A19" s="16" t="s">
        <v>50</v>
      </c>
      <c r="B19" s="16"/>
      <c r="C19" s="16"/>
    </row>
  </sheetData>
  <mergeCells count="9">
    <mergeCell ref="A1:C1"/>
    <mergeCell ref="A12:C12"/>
    <mergeCell ref="A13:C13"/>
    <mergeCell ref="A14:C14"/>
    <mergeCell ref="A15:C15"/>
    <mergeCell ref="A16:C16"/>
    <mergeCell ref="A17:C17"/>
    <mergeCell ref="A18:C18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1" min="9" style="0" width="12"/>
  </cols>
  <sheetData>
    <row r="1" customFormat="false" ht="25.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3.85" hidden="false" customHeight="false" outlineLevel="0" collapsed="false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</row>
    <row r="4" customFormat="false" ht="15" hidden="false" customHeight="false" outlineLevel="0" collapsed="false">
      <c r="A4" s="3" t="s">
        <v>63</v>
      </c>
      <c r="B4" s="3" t="s">
        <v>64</v>
      </c>
      <c r="C4" s="22" t="n">
        <v>1500</v>
      </c>
      <c r="D4" s="22" t="n">
        <v>30</v>
      </c>
      <c r="E4" s="23" t="n">
        <v>0.2</v>
      </c>
      <c r="F4" s="23" t="n">
        <v>1.25</v>
      </c>
      <c r="G4" s="24" t="n">
        <v>0.6</v>
      </c>
      <c r="H4" s="15" t="n">
        <f aca="false">((C4*E4)+(D4*F4))/1000000*G4</f>
        <v>0.0002025</v>
      </c>
      <c r="I4" s="25" t="n">
        <f aca="false">Assumptions!$B$6</f>
        <v>15000</v>
      </c>
      <c r="J4" s="26" t="n">
        <f aca="false">H4*I4</f>
        <v>3.0375</v>
      </c>
      <c r="K4" s="26" t="n">
        <f aca="false">J4*12</f>
        <v>36.45</v>
      </c>
    </row>
    <row r="5" customFormat="false" ht="15" hidden="false" customHeight="false" outlineLevel="0" collapsed="false">
      <c r="A5" s="3" t="s">
        <v>65</v>
      </c>
      <c r="B5" s="3" t="s">
        <v>64</v>
      </c>
      <c r="C5" s="22" t="n">
        <v>2000</v>
      </c>
      <c r="D5" s="22" t="n">
        <v>80</v>
      </c>
      <c r="E5" s="23" t="n">
        <v>0.2</v>
      </c>
      <c r="F5" s="23" t="n">
        <v>1.25</v>
      </c>
      <c r="G5" s="24" t="n">
        <v>1</v>
      </c>
      <c r="H5" s="15" t="n">
        <f aca="false">((C5*E5)+(D5*F5))/1000000*G5</f>
        <v>0.0005</v>
      </c>
      <c r="I5" s="25" t="n">
        <f aca="false">Assumptions!$B$6</f>
        <v>15000</v>
      </c>
      <c r="J5" s="26" t="n">
        <f aca="false">H5*I5</f>
        <v>7.5</v>
      </c>
      <c r="K5" s="26" t="n">
        <f aca="false">J5*12</f>
        <v>90</v>
      </c>
    </row>
    <row r="6" customFormat="false" ht="15" hidden="false" customHeight="false" outlineLevel="0" collapsed="false">
      <c r="A6" s="3" t="s">
        <v>66</v>
      </c>
      <c r="B6" s="3" t="s">
        <v>67</v>
      </c>
      <c r="C6" s="22" t="n">
        <v>120</v>
      </c>
      <c r="D6" s="22" t="n">
        <v>0</v>
      </c>
      <c r="E6" s="23" t="n">
        <v>0.02</v>
      </c>
      <c r="F6" s="23" t="n">
        <v>0</v>
      </c>
      <c r="G6" s="24" t="n">
        <v>1</v>
      </c>
      <c r="H6" s="15" t="n">
        <f aca="false">((C6*E6)+(D6*F6))/1000000*G6</f>
        <v>2.4E-006</v>
      </c>
      <c r="I6" s="25" t="n">
        <f aca="false">Assumptions!$B$6</f>
        <v>15000</v>
      </c>
      <c r="J6" s="26" t="n">
        <f aca="false">H6*I6</f>
        <v>0.036</v>
      </c>
      <c r="K6" s="26" t="n">
        <f aca="false">J6*12</f>
        <v>0.432</v>
      </c>
    </row>
    <row r="7" customFormat="false" ht="15" hidden="false" customHeight="false" outlineLevel="0" collapsed="false">
      <c r="A7" s="3" t="s">
        <v>68</v>
      </c>
      <c r="B7" s="3" t="s">
        <v>69</v>
      </c>
      <c r="C7" s="22" t="n">
        <v>4500</v>
      </c>
      <c r="D7" s="22" t="n">
        <v>0</v>
      </c>
      <c r="E7" s="23" t="n">
        <v>0.05</v>
      </c>
      <c r="F7" s="23" t="n">
        <v>0</v>
      </c>
      <c r="G7" s="24" t="n">
        <v>1</v>
      </c>
      <c r="H7" s="15" t="n">
        <f aca="false">((C7*E7)+(D7*F7))/1000000*G7</f>
        <v>0.000225</v>
      </c>
      <c r="I7" s="25" t="n">
        <f aca="false">Assumptions!$B$6</f>
        <v>15000</v>
      </c>
      <c r="J7" s="26" t="n">
        <f aca="false">H7*I7</f>
        <v>3.375</v>
      </c>
      <c r="K7" s="26" t="n">
        <f aca="false">J7*12</f>
        <v>40.5</v>
      </c>
    </row>
    <row r="8" customFormat="false" ht="15" hidden="false" customHeight="false" outlineLevel="0" collapsed="false">
      <c r="A8" s="3" t="s">
        <v>70</v>
      </c>
      <c r="B8" s="3" t="s">
        <v>71</v>
      </c>
      <c r="C8" s="22" t="n">
        <v>2770</v>
      </c>
      <c r="D8" s="22" t="n">
        <v>130</v>
      </c>
      <c r="E8" s="23" t="n">
        <v>0.075</v>
      </c>
      <c r="F8" s="23" t="n">
        <v>0.3</v>
      </c>
      <c r="G8" s="24" t="n">
        <v>1</v>
      </c>
      <c r="H8" s="15" t="n">
        <f aca="false">((C8*E8)+(D8*F8))/1000000*G8</f>
        <v>0.00024675</v>
      </c>
      <c r="I8" s="25" t="n">
        <f aca="false">Assumptions!$B$6</f>
        <v>15000</v>
      </c>
      <c r="J8" s="26" t="n">
        <f aca="false">H8*I8</f>
        <v>3.70125</v>
      </c>
      <c r="K8" s="26" t="n">
        <f aca="false">J8*12</f>
        <v>44.415</v>
      </c>
    </row>
    <row r="9" customFormat="false" ht="15" hidden="false" customHeight="false" outlineLevel="0" collapsed="false">
      <c r="A9" s="6" t="s">
        <v>72</v>
      </c>
      <c r="B9" s="27"/>
      <c r="C9" s="27"/>
      <c r="D9" s="27"/>
      <c r="E9" s="27"/>
      <c r="F9" s="27"/>
      <c r="G9" s="27"/>
      <c r="H9" s="27"/>
      <c r="I9" s="27"/>
      <c r="J9" s="7" t="n">
        <f aca="false">SUM(J4:J8)</f>
        <v>17.64975</v>
      </c>
      <c r="K9" s="7" t="n">
        <f aca="false">SUM(K4:K8)</f>
        <v>211.797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40"/>
  </cols>
  <sheetData>
    <row r="1" customFormat="false" ht="25.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74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79</v>
      </c>
      <c r="G3" s="2" t="s">
        <v>61</v>
      </c>
      <c r="H3" s="2" t="s">
        <v>62</v>
      </c>
      <c r="I3" s="2" t="s">
        <v>4</v>
      </c>
    </row>
    <row r="4" customFormat="false" ht="23.85" hidden="false" customHeight="false" outlineLevel="0" collapsed="false">
      <c r="A4" s="3" t="s">
        <v>80</v>
      </c>
      <c r="B4" s="3" t="s">
        <v>81</v>
      </c>
      <c r="C4" s="23" t="n">
        <v>0.06</v>
      </c>
      <c r="D4" s="28" t="n">
        <v>18</v>
      </c>
      <c r="E4" s="28" t="n">
        <v>15</v>
      </c>
      <c r="F4" s="29" t="n">
        <f aca="false">MAX(0,D4-E4)</f>
        <v>3</v>
      </c>
      <c r="G4" s="26" t="n">
        <f aca="false">F4*C4</f>
        <v>0.18</v>
      </c>
      <c r="H4" s="26" t="n">
        <f aca="false">G4*12</f>
        <v>2.16</v>
      </c>
      <c r="I4" s="5" t="s">
        <v>82</v>
      </c>
    </row>
    <row r="5" customFormat="false" ht="15" hidden="false" customHeight="false" outlineLevel="0" collapsed="false">
      <c r="A5" s="3" t="s">
        <v>83</v>
      </c>
      <c r="B5" s="3" t="s">
        <v>84</v>
      </c>
      <c r="C5" s="23" t="n">
        <v>0.18</v>
      </c>
      <c r="D5" s="28" t="n">
        <v>0.6</v>
      </c>
      <c r="E5" s="28" t="n">
        <v>6</v>
      </c>
      <c r="F5" s="29" t="n">
        <f aca="false">MAX(0,D5-E5)</f>
        <v>0</v>
      </c>
      <c r="G5" s="26" t="n">
        <f aca="false">F5*C5</f>
        <v>0</v>
      </c>
      <c r="H5" s="26" t="n">
        <f aca="false">G5*12</f>
        <v>0</v>
      </c>
      <c r="I5" s="5" t="s">
        <v>85</v>
      </c>
    </row>
    <row r="6" customFormat="false" ht="15" hidden="false" customHeight="false" outlineLevel="0" collapsed="false">
      <c r="A6" s="3" t="s">
        <v>86</v>
      </c>
      <c r="B6" s="3" t="s">
        <v>87</v>
      </c>
      <c r="C6" s="23" t="n">
        <v>0.18</v>
      </c>
      <c r="D6" s="28" t="n">
        <v>1</v>
      </c>
      <c r="E6" s="28" t="n">
        <v>1</v>
      </c>
      <c r="F6" s="29" t="n">
        <f aca="false">MAX(0,D6-E6)</f>
        <v>0</v>
      </c>
      <c r="G6" s="26" t="n">
        <f aca="false">F6*C6</f>
        <v>0</v>
      </c>
      <c r="H6" s="26" t="n">
        <f aca="false">G6*12</f>
        <v>0</v>
      </c>
      <c r="I6" s="5" t="s">
        <v>88</v>
      </c>
    </row>
    <row r="7" customFormat="false" ht="15" hidden="false" customHeight="false" outlineLevel="0" collapsed="false">
      <c r="A7" s="3" t="s">
        <v>89</v>
      </c>
      <c r="B7" s="3" t="s">
        <v>87</v>
      </c>
      <c r="C7" s="23" t="n">
        <v>0.026</v>
      </c>
      <c r="D7" s="28" t="n">
        <v>1.2</v>
      </c>
      <c r="E7" s="28" t="n">
        <v>5</v>
      </c>
      <c r="F7" s="29" t="n">
        <f aca="false">MAX(0,D7-E7)</f>
        <v>0</v>
      </c>
      <c r="G7" s="26" t="n">
        <f aca="false">F7*C7</f>
        <v>0</v>
      </c>
      <c r="H7" s="26" t="n">
        <f aca="false">G7*12</f>
        <v>0</v>
      </c>
      <c r="I7" s="5" t="s">
        <v>90</v>
      </c>
    </row>
    <row r="8" customFormat="false" ht="23.85" hidden="false" customHeight="false" outlineLevel="0" collapsed="false">
      <c r="A8" s="3" t="s">
        <v>91</v>
      </c>
      <c r="B8" s="3" t="s">
        <v>92</v>
      </c>
      <c r="C8" s="23" t="n">
        <v>0.12</v>
      </c>
      <c r="D8" s="28" t="n">
        <v>25</v>
      </c>
      <c r="E8" s="28" t="n">
        <v>0</v>
      </c>
      <c r="F8" s="29" t="n">
        <f aca="false">MAX(0,D8-E8)</f>
        <v>25</v>
      </c>
      <c r="G8" s="26" t="n">
        <f aca="false">F8*C8</f>
        <v>3</v>
      </c>
      <c r="H8" s="26" t="n">
        <f aca="false">G8*12</f>
        <v>36</v>
      </c>
      <c r="I8" s="5" t="s">
        <v>93</v>
      </c>
    </row>
    <row r="9" customFormat="false" ht="15" hidden="false" customHeight="false" outlineLevel="0" collapsed="false">
      <c r="A9" s="3" t="s">
        <v>94</v>
      </c>
      <c r="B9" s="3" t="s">
        <v>95</v>
      </c>
      <c r="C9" s="23" t="n">
        <v>0.4</v>
      </c>
      <c r="D9" s="28" t="n">
        <v>0.6</v>
      </c>
      <c r="E9" s="28" t="n">
        <v>3</v>
      </c>
      <c r="F9" s="29" t="n">
        <f aca="false">MAX(0,D9-E9)</f>
        <v>0</v>
      </c>
      <c r="G9" s="26" t="n">
        <f aca="false">F9*C9</f>
        <v>0</v>
      </c>
      <c r="H9" s="26" t="n">
        <f aca="false">G9*12</f>
        <v>0</v>
      </c>
      <c r="I9" s="5" t="s">
        <v>96</v>
      </c>
    </row>
    <row r="10" customFormat="false" ht="15" hidden="false" customHeight="false" outlineLevel="0" collapsed="false">
      <c r="A10" s="3" t="s">
        <v>97</v>
      </c>
      <c r="B10" s="3" t="s">
        <v>87</v>
      </c>
      <c r="C10" s="23" t="n">
        <v>0.25</v>
      </c>
      <c r="D10" s="28" t="n">
        <v>0.3</v>
      </c>
      <c r="E10" s="28" t="n">
        <v>0</v>
      </c>
      <c r="F10" s="29" t="n">
        <f aca="false">MAX(0,D10-E10)</f>
        <v>0.3</v>
      </c>
      <c r="G10" s="26" t="n">
        <f aca="false">F10*C10</f>
        <v>0.075</v>
      </c>
      <c r="H10" s="26" t="n">
        <f aca="false">G10*12</f>
        <v>0.9</v>
      </c>
      <c r="I10" s="5" t="s">
        <v>98</v>
      </c>
    </row>
    <row r="11" customFormat="false" ht="15" hidden="false" customHeight="false" outlineLevel="0" collapsed="false">
      <c r="A11" s="3" t="s">
        <v>99</v>
      </c>
      <c r="B11" s="3" t="s">
        <v>100</v>
      </c>
      <c r="C11" s="23" t="n">
        <v>5</v>
      </c>
      <c r="D11" s="30" t="n">
        <f aca="false">Assumptions!$B$6*Assumptions!$B$9/1000</f>
        <v>3</v>
      </c>
      <c r="E11" s="28" t="n">
        <v>10</v>
      </c>
      <c r="F11" s="29" t="n">
        <f aca="false">MAX(0,D11-E11)</f>
        <v>0</v>
      </c>
      <c r="G11" s="26" t="n">
        <f aca="false">F11*C11</f>
        <v>0</v>
      </c>
      <c r="H11" s="26" t="n">
        <f aca="false">G11*12</f>
        <v>0</v>
      </c>
      <c r="I11" s="5" t="s">
        <v>101</v>
      </c>
    </row>
    <row r="12" customFormat="false" ht="15" hidden="false" customHeight="false" outlineLevel="0" collapsed="false">
      <c r="A12" s="3" t="s">
        <v>102</v>
      </c>
      <c r="B12" s="3" t="s">
        <v>100</v>
      </c>
      <c r="C12" s="23" t="n">
        <v>5</v>
      </c>
      <c r="D12" s="30" t="n">
        <f aca="false">Assumptions!$B$6*0.27/1000</f>
        <v>4.05</v>
      </c>
      <c r="E12" s="28" t="n">
        <v>10</v>
      </c>
      <c r="F12" s="29" t="n">
        <f aca="false">MAX(0,D12-E12)</f>
        <v>0</v>
      </c>
      <c r="G12" s="26" t="n">
        <f aca="false">F12*C12</f>
        <v>0</v>
      </c>
      <c r="H12" s="26" t="n">
        <f aca="false">G12*12</f>
        <v>0</v>
      </c>
      <c r="I12" s="5" t="s">
        <v>103</v>
      </c>
    </row>
    <row r="13" customFormat="false" ht="15" hidden="false" customHeight="false" outlineLevel="0" collapsed="false">
      <c r="A13" s="3" t="s">
        <v>104</v>
      </c>
      <c r="B13" s="3" t="s">
        <v>105</v>
      </c>
      <c r="C13" s="12"/>
      <c r="D13" s="12"/>
      <c r="E13" s="12"/>
      <c r="F13" s="12"/>
      <c r="G13" s="26" t="n">
        <v>0</v>
      </c>
      <c r="H13" s="26" t="n">
        <f aca="false">G13*12</f>
        <v>0</v>
      </c>
      <c r="I13" s="5" t="s">
        <v>106</v>
      </c>
    </row>
    <row r="14" customFormat="false" ht="15" hidden="false" customHeight="false" outlineLevel="0" collapsed="false">
      <c r="A14" s="3" t="s">
        <v>107</v>
      </c>
      <c r="B14" s="3" t="s">
        <v>108</v>
      </c>
      <c r="C14" s="12"/>
      <c r="D14" s="12"/>
      <c r="E14" s="12"/>
      <c r="F14" s="12"/>
      <c r="G14" s="26" t="n">
        <v>0</v>
      </c>
      <c r="H14" s="26" t="n">
        <f aca="false">G14*12</f>
        <v>0</v>
      </c>
      <c r="I14" s="5" t="s">
        <v>109</v>
      </c>
    </row>
    <row r="15" customFormat="false" ht="23.85" hidden="false" customHeight="false" outlineLevel="0" collapsed="false">
      <c r="A15" s="3" t="s">
        <v>110</v>
      </c>
      <c r="B15" s="3" t="s">
        <v>111</v>
      </c>
      <c r="C15" s="12"/>
      <c r="D15" s="12"/>
      <c r="E15" s="12"/>
      <c r="F15" s="12"/>
      <c r="G15" s="23" t="n">
        <v>20</v>
      </c>
      <c r="H15" s="26" t="n">
        <f aca="false">G15*12</f>
        <v>240</v>
      </c>
      <c r="I15" s="5" t="s">
        <v>112</v>
      </c>
    </row>
    <row r="16" customFormat="false" ht="23.85" hidden="false" customHeight="false" outlineLevel="0" collapsed="false">
      <c r="A16" s="3" t="s">
        <v>113</v>
      </c>
      <c r="B16" s="3" t="s">
        <v>114</v>
      </c>
      <c r="C16" s="12"/>
      <c r="D16" s="12"/>
      <c r="E16" s="12"/>
      <c r="F16" s="12"/>
      <c r="G16" s="23" t="n">
        <v>0</v>
      </c>
      <c r="H16" s="26" t="n">
        <f aca="false">G16*12</f>
        <v>0</v>
      </c>
      <c r="I16" s="5" t="s">
        <v>115</v>
      </c>
    </row>
    <row r="17" customFormat="false" ht="15" hidden="false" customHeight="false" outlineLevel="0" collapsed="false">
      <c r="A17" s="6" t="s">
        <v>116</v>
      </c>
      <c r="B17" s="27"/>
      <c r="C17" s="27"/>
      <c r="D17" s="27"/>
      <c r="E17" s="27"/>
      <c r="F17" s="27"/>
      <c r="G17" s="7" t="n">
        <f aca="false">SUM(G4:G16)</f>
        <v>23.255</v>
      </c>
      <c r="H17" s="7" t="n">
        <f aca="false">SUM(H4:H16)</f>
        <v>279.06</v>
      </c>
      <c r="I17" s="27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48"/>
  </cols>
  <sheetData>
    <row r="1" customFormat="false" ht="25.5" hidden="false" customHeight="true" outlineLevel="0" collapsed="false">
      <c r="A1" s="1" t="s">
        <v>117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118</v>
      </c>
      <c r="B3" s="2" t="s">
        <v>119</v>
      </c>
      <c r="C3" s="2" t="s">
        <v>120</v>
      </c>
      <c r="D3" s="2" t="s">
        <v>62</v>
      </c>
      <c r="E3" s="2" t="s">
        <v>4</v>
      </c>
    </row>
    <row r="4" customFormat="false" ht="15" hidden="false" customHeight="false" outlineLevel="0" collapsed="false">
      <c r="A4" s="3" t="s">
        <v>121</v>
      </c>
      <c r="B4" s="3" t="s">
        <v>3</v>
      </c>
      <c r="C4" s="31" t="n">
        <v>99</v>
      </c>
      <c r="D4" s="32" t="n">
        <f aca="false">C4</f>
        <v>99</v>
      </c>
      <c r="E4" s="5" t="s">
        <v>122</v>
      </c>
    </row>
    <row r="5" customFormat="false" ht="15" hidden="false" customHeight="false" outlineLevel="0" collapsed="false">
      <c r="A5" s="3" t="s">
        <v>123</v>
      </c>
      <c r="B5" s="3" t="s">
        <v>3</v>
      </c>
      <c r="C5" s="31" t="n">
        <v>15</v>
      </c>
      <c r="D5" s="32" t="n">
        <f aca="false">C5</f>
        <v>15</v>
      </c>
      <c r="E5" s="5" t="s">
        <v>124</v>
      </c>
    </row>
    <row r="6" customFormat="false" ht="15" hidden="false" customHeight="false" outlineLevel="0" collapsed="false">
      <c r="A6" s="3" t="s">
        <v>125</v>
      </c>
      <c r="B6" s="3" t="s">
        <v>126</v>
      </c>
      <c r="C6" s="31" t="n">
        <v>25</v>
      </c>
      <c r="D6" s="32" t="s">
        <v>127</v>
      </c>
      <c r="E6" s="5" t="s">
        <v>128</v>
      </c>
    </row>
    <row r="7" customFormat="false" ht="23.85" hidden="false" customHeight="false" outlineLevel="0" collapsed="false">
      <c r="A7" s="3" t="s">
        <v>129</v>
      </c>
      <c r="B7" s="3" t="s">
        <v>2</v>
      </c>
      <c r="C7" s="31" t="n">
        <v>0</v>
      </c>
      <c r="D7" s="32" t="n">
        <v>0</v>
      </c>
      <c r="E7" s="5" t="s">
        <v>130</v>
      </c>
    </row>
    <row r="9" customFormat="false" ht="15" hidden="false" customHeight="false" outlineLevel="0" collapsed="false">
      <c r="A9" s="14" t="s">
        <v>131</v>
      </c>
      <c r="C9" s="33" t="n">
        <f aca="false">C4+C5</f>
        <v>114</v>
      </c>
    </row>
    <row r="10" customFormat="false" ht="15" hidden="false" customHeight="false" outlineLevel="0" collapsed="false">
      <c r="A10" s="14" t="s">
        <v>14</v>
      </c>
      <c r="C10" s="33" t="n">
        <f aca="false">C6</f>
        <v>25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2026-06-13T09:35:11Z</dcterms:created>
  <dc:creator>openpyxl</dc:creator>
  <dc:description/>
  <dc:language>en-US</dc:language>
  <cp:lastModifiedBy/>
  <dcterms:modified xsi:type="dcterms:W3CDTF">2026-06-13T09:35:11Z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