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Annual Summary" sheetId="3" state="visible" r:id="rId5"/>
    <sheet name="Scenarios" sheetId="4" state="visible" r:id="rId6"/>
    <sheet name="Winery RO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<sst xmlns="http://schemas.openxmlformats.org/spreadsheetml/2006/main" count="124" uniqueCount="115">
  <si>
    <t xml:space="preserve">SipLocal Sonoma — Model Assumptions</t>
  </si>
  <si>
    <t xml:space="preserve">Blue cells = inputs you can change. All other sheets recalculate.</t>
  </si>
  <si>
    <t xml:space="preserve">REVENUE</t>
  </si>
  <si>
    <t xml:space="preserve">Premium tier price ($/winery/mo)</t>
  </si>
  <si>
    <t xml:space="preserve">Owner input, 2026-06-11</t>
  </si>
  <si>
    <t xml:space="preserve">Premium wineries signed</t>
  </si>
  <si>
    <t xml:space="preserve">Owner assumption — 5.6% of ~425 Sonoma County wineries</t>
  </si>
  <si>
    <t xml:space="preserve">Ultra-premium tier price ($/winery/mo)</t>
  </si>
  <si>
    <t xml:space="preserve">Ultra-premium wineries signed</t>
  </si>
  <si>
    <t xml:space="preserve">Owner assumption — capped slots</t>
  </si>
  <si>
    <t xml:space="preserve">VARIABLE / PROGRAM COSTS</t>
  </si>
  <si>
    <t xml:space="preserve">Referral budget ($/mo)</t>
  </si>
  <si>
    <t xml:space="preserve">Owner input — $1 per activated user → ~1,000 users/mo</t>
  </si>
  <si>
    <t xml:space="preserve">Concierge AI cost ($/mo)</t>
  </si>
  <si>
    <t xml:space="preserve">Owner input — OpenAI/Gemini/Voyage/Upstash usage</t>
  </si>
  <si>
    <t xml:space="preserve">Stripe rate (% of revenue)</t>
  </si>
  <si>
    <t xml:space="preserve">Source: stripe.com standard US card pricing</t>
  </si>
  <si>
    <t xml:space="preserve">Stripe per-transaction fee ($)</t>
  </si>
  <si>
    <t xml:space="preserve">FIXED MONTHLY COSTS</t>
  </si>
  <si>
    <t xml:space="preserve">Google Workspace Business Starter ($/mo)</t>
  </si>
  <si>
    <t xml:space="preserve">Source: workspace.google.com pricing, 2026-06 — annual commitment, 1 user</t>
  </si>
  <si>
    <t xml:space="preserve">Firebase Blaze estimate ($/mo)</t>
  </si>
  <si>
    <t xml:space="preserve">Estimate — Firestore/Functions/Storage at &lt;25k MAU</t>
  </si>
  <si>
    <t xml:space="preserve">Vercel Pro — website hosting ($/mo)</t>
  </si>
  <si>
    <t xml:space="preserve">Source: vercel.com pricing — commercial use requires Pro</t>
  </si>
  <si>
    <t xml:space="preserve">Google Maps APIs ($/mo)</t>
  </si>
  <si>
    <t xml:space="preserve">Estimate — Distance Matrix + Places at current volume</t>
  </si>
  <si>
    <t xml:space="preserve">Attribution provider ($/mo)</t>
  </si>
  <si>
    <t xml:space="preserve">ChottuLink free tier to 25k MAU</t>
  </si>
  <si>
    <t xml:space="preserve">ANNUAL / ONE-TIME COSTS</t>
  </si>
  <si>
    <t xml:space="preserve">Apple Developer Program ($/yr)</t>
  </si>
  <si>
    <t xml:space="preserve">Source: developer.apple.com</t>
  </si>
  <si>
    <t xml:space="preserve">Domain ($/yr)</t>
  </si>
  <si>
    <t xml:space="preserve">Estimate</t>
  </si>
  <si>
    <t xml:space="preserve">Google Play registration ($ one-time)</t>
  </si>
  <si>
    <t xml:space="preserve">Source: play.google.com — one-time, month 1</t>
  </si>
  <si>
    <t xml:space="preserve">SipLocal Sonoma — Year 1 Monthly P&amp;L ($)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</si>
  <si>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</si>
  <si>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</si>
  <si>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</si>
  <si>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</si>
  <si>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</si>
  <si>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</si>
  <si>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</si>
  <si>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</si>
  <si>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</si>
  <si>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</si>
  <si>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</si>
  <si>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</si>
  <si>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</t>
  </si>
  <si>
    <t xml:space="preserve">Premium subscriptions (24 × $40)</t>
  </si>
  <si>
    <t xml:space="preserve">Ultra-premium subscriptions (3 × $150)</t>
  </si>
  <si>
    <t xml:space="preserve">Total revenue</t>
  </si>
  <si>
    <t xml:space="preserve">Referral payouts</t>
  </si>
  <si>
    <t xml:space="preserve">Concierge AI</t>
  </si>
  <si>
    <t xml:space="preserve">Stripe fees</t>
  </si>
  <si>
    <t xml:space="preserve">Google Workspace</t>
  </si>
  <si>
    <t xml:space="preserve">Firebase</t>
  </si>
  <si>
    <t xml:space="preserve">Vercel</t>
  </si>
  <si>
    <t xml:space="preserve">Google Maps APIs</t>
  </si>
  <si>
    <t xml:space="preserve">Attribution provider</t>
  </si>
  <si>
    <t xml:space="preserve">Apple Developer + domain (1/12)</t>
  </si>
  <si>
    <t xml:space="preserve">Google Play (one-time)</t>
  </si>
  <si>
    <t xml:space="preserve">Total costs</t>
  </si>
  <si>
    <t xml:space="preserve">Net profit</t>
  </si>
  <si>
    <t xml:space="preserve">Cumulative net profit</t>
  </si>
  <si>
    <t xml:space="preserve">Net margin</t>
  </si>
  <si>
    <t xml:space="preserve">SipLocal Sonoma — Year 1 Summary</t>
  </si>
  <si>
    <t xml:space="preserve">Year 1 ($)</t>
  </si>
  <si>
    <t xml:space="preserve">% of revenue</t>
  </si>
  <si>
    <t xml:space="preserve">Revenue — Premium tier</t>
  </si>
  <si>
    <t xml:space="preserve">Revenue — Ultra-premium tier</t>
  </si>
  <si>
    <t xml:space="preserve">Infrastructure &amp; tools (GWS, Firebase, Vercel, Maps, attribution)</t>
  </si>
  <si>
    <t xml:space="preserve">Annual &amp; one-time fees (Apple, domain, Play)</t>
  </si>
  <si>
    <t xml:space="preserve">Year-1 net profit sensitivity</t>
  </si>
  <si>
    <t xml:space="preserve">Rows: premium wineries signed · Columns: monthly referral budget. Ultra-premium held at base assumptions.</t>
  </si>
  <si>
    <t xml:space="preserve">Premium wineries ↓ / Referral $/mo →</t>
  </si>
  <si>
    <t xml:space="preserve">Base case = 24 premium / $1,000 referral budget. Negative cells = annual loss.</t>
  </si>
  <si>
    <t xml:space="preserve">Winery ROI — does a subscription pay for itself?</t>
  </si>
  <si>
    <t xml:space="preserve">Funnel: MAU → profile views → high-intent actions (directions/booking taps) → visits → tasting-room revenue. Blue = inputs.</t>
  </si>
  <si>
    <t xml:space="preserve">INPUTS</t>
  </si>
  <si>
    <t xml:space="preserve">App MAU (in-region)</t>
  </si>
  <si>
    <t xml:space="preserve">Owner scenario input</t>
  </si>
  <si>
    <t xml:space="preserve">Avg winery-profile views per user per month</t>
  </si>
  <si>
    <t xml:space="preserve">Estimate — tune once telemetry exists</t>
  </si>
  <si>
    <t xml:space="preserve">Total listed wineries (incl. free tier)</t>
  </si>
  <si>
    <t xml:space="preserve">Estimate — free tier seeds directory</t>
  </si>
  <si>
    <t xml:space="preserve">Premium visibility multiplier (vs free listing)</t>
  </si>
  <si>
    <t xml:space="preserve">Concierge boost + richer card</t>
  </si>
  <si>
    <t xml:space="preserve">Ultra-premium visibility multiplier</t>
  </si>
  <si>
    <t xml:space="preserve">Higher boost cap + IG/editorial halo</t>
  </si>
  <si>
    <t xml:space="preserve">View → high-intent action rate</t>
  </si>
  <si>
    <t xml:space="preserve">Directions tap or booking-link click</t>
  </si>
  <si>
    <t xml:space="preserve">High-intent action → actual visit rate</t>
  </si>
  <si>
    <t xml:space="preserve">Avg tasting-room revenue per visiting party ($)</t>
  </si>
  <si>
    <t xml:space="preserve">Owner input — conservative: tasting fee often waived with bottle purchase</t>
  </si>
  <si>
    <t xml:space="preserve">PER-WINERY FUNNEL (monthly)</t>
  </si>
  <si>
    <t xml:space="preserve">Free</t>
  </si>
  <si>
    <t xml:space="preserve">Premium</t>
  </si>
  <si>
    <t xml:space="preserve">Ultra-prem.</t>
  </si>
  <si>
    <t xml:space="preserve">Total profile views across app</t>
  </si>
  <si>
    <t xml:space="preserve">Total visibility weight (free×1 + prem×mult + ultra×mult)</t>
  </si>
  <si>
    <t xml:space="preserve">Profile views per winery</t>
  </si>
  <si>
    <t xml:space="preserve">High-intent actions per winery</t>
  </si>
  <si>
    <t xml:space="preserve">Estimated visits per winery</t>
  </si>
  <si>
    <t xml:space="preserve">Estimated tasting-room revenue driven</t>
  </si>
  <si>
    <t xml:space="preserve">Subscription cost</t>
  </si>
  <si>
    <t xml:space="preserve">ROI multiple (revenue ÷ cost)</t>
  </si>
  <si>
    <t xml:space="preserve">Visits needed to break even</t>
  </si>
  <si>
    <t xml:space="preserve">MAU SENSITIVITY — Premium winery, monthly</t>
  </si>
  <si>
    <t xml:space="preserve">Views</t>
  </si>
  <si>
    <t xml:space="preserve">Visits</t>
  </si>
  <si>
    <t xml:space="preserve">Revenue</t>
  </si>
  <si>
    <t xml:space="preserve">ROI</t>
  </si>
  <si>
    <t xml:space="preserve">Renewal rule of thumb: a Premium winery needs ROI ≥ ~3x to feel obviously worth it; 1x is the floor.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</si>
</sst>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"/>
    <numFmt numFmtId="167" formatCode="0.0%"/>
    <numFmt numFmtId="168" formatCode="\$#,##0.00;&quot;($&quot;#,##0.00\);\-"/>
    <numFmt numFmtId="169" formatCode="#,##0.0"/>
    <numFmt numFmtId="170" formatCode="0.0\x"/>
    <numFmt numFmtId="171" formatCode="#,##0.00"/>
    <numFmt numFmtId="172" formatCode="#,##0&quot; MAU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2D"/>
        <bgColor rgb="FF333300"/>
      </patternFill>
    </fill>
    <fill>
      <patternFill patternType="solid">
        <fgColor rgb="FFE8EA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EA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40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24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150</v>
      </c>
      <c r="C7" s="8" t="s">
        <v>4</v>
      </c>
    </row>
    <row r="8" customFormat="false" ht="15" hidden="false" customHeight="true" outlineLevel="0" collapsed="false">
      <c r="A8" s="6" t="s">
        <v>8</v>
      </c>
      <c r="B8" s="9" t="n">
        <v>3</v>
      </c>
      <c r="C8" s="8" t="s">
        <v>9</v>
      </c>
    </row>
    <row r="9" customFormat="false" ht="15" hidden="false" customHeight="true" outlineLevel="0" collapsed="false">
      <c r="A9" s="4" t="s">
        <v>10</v>
      </c>
      <c r="B9" s="5"/>
      <c r="C9" s="5"/>
    </row>
    <row r="10" customFormat="false" ht="15" hidden="false" customHeight="true" outlineLevel="0" collapsed="false">
      <c r="A10" s="6" t="s">
        <v>11</v>
      </c>
      <c r="B10" s="7" t="n">
        <v>1000</v>
      </c>
      <c r="C10" s="8" t="s">
        <v>12</v>
      </c>
    </row>
    <row r="11" customFormat="false" ht="15" hidden="false" customHeight="true" outlineLevel="0" collapsed="false">
      <c r="A11" s="6" t="s">
        <v>13</v>
      </c>
      <c r="B11" s="7" t="n">
        <v>50</v>
      </c>
      <c r="C11" s="8" t="s">
        <v>14</v>
      </c>
    </row>
    <row r="12" customFormat="false" ht="15" hidden="false" customHeight="true" outlineLevel="0" collapsed="false">
      <c r="A12" s="6" t="s">
        <v>15</v>
      </c>
      <c r="B12" s="10" t="n">
        <v>0.029</v>
      </c>
      <c r="C12" s="8" t="s">
        <v>16</v>
      </c>
    </row>
    <row r="13" customFormat="false" ht="15" hidden="false" customHeight="true" outlineLevel="0" collapsed="false">
      <c r="A13" s="6" t="s">
        <v>17</v>
      </c>
      <c r="B13" s="11" t="n">
        <v>0.3</v>
      </c>
      <c r="C13" s="8" t="s">
        <v>16</v>
      </c>
    </row>
    <row r="14" customFormat="false" ht="15" hidden="false" customHeight="true" outlineLevel="0" collapsed="false">
      <c r="A14" s="4" t="s">
        <v>18</v>
      </c>
      <c r="B14" s="5"/>
      <c r="C14" s="5"/>
    </row>
    <row r="15" customFormat="false" ht="15" hidden="false" customHeight="true" outlineLevel="0" collapsed="false">
      <c r="A15" s="6" t="s">
        <v>19</v>
      </c>
      <c r="B15" s="11" t="n">
        <v>7</v>
      </c>
      <c r="C15" s="8" t="s">
        <v>20</v>
      </c>
    </row>
    <row r="16" customFormat="false" ht="15" hidden="false" customHeight="true" outlineLevel="0" collapsed="false">
      <c r="A16" s="6" t="s">
        <v>21</v>
      </c>
      <c r="B16" s="7" t="n">
        <v>25</v>
      </c>
      <c r="C16" s="8" t="s">
        <v>22</v>
      </c>
    </row>
    <row r="17" customFormat="false" ht="15" hidden="false" customHeight="true" outlineLevel="0" collapsed="false">
      <c r="A17" s="6" t="s">
        <v>23</v>
      </c>
      <c r="B17" s="7" t="n">
        <v>20</v>
      </c>
      <c r="C17" s="8" t="s">
        <v>24</v>
      </c>
    </row>
    <row r="18" customFormat="false" ht="15" hidden="false" customHeight="true" outlineLevel="0" collapsed="false">
      <c r="A18" s="6" t="s">
        <v>25</v>
      </c>
      <c r="B18" s="7" t="n">
        <v>25</v>
      </c>
      <c r="C18" s="8" t="s">
        <v>26</v>
      </c>
    </row>
    <row r="19" customFormat="false" ht="15" hidden="false" customHeight="true" outlineLevel="0" collapsed="false">
      <c r="A19" s="6" t="s">
        <v>27</v>
      </c>
      <c r="B19" s="11" t="n">
        <v>0</v>
      </c>
      <c r="C19" s="8" t="s">
        <v>28</v>
      </c>
    </row>
    <row r="20" customFormat="false" ht="15" hidden="false" customHeight="true" outlineLevel="0" collapsed="false">
      <c r="A20" s="4" t="s">
        <v>29</v>
      </c>
      <c r="B20" s="5"/>
      <c r="C20" s="5"/>
    </row>
    <row r="21" customFormat="false" ht="15" hidden="false" customHeight="true" outlineLevel="0" collapsed="false">
      <c r="A21" s="6" t="s">
        <v>30</v>
      </c>
      <c r="B21" s="7" t="n">
        <v>99</v>
      </c>
      <c r="C21" s="8" t="s">
        <v>31</v>
      </c>
    </row>
    <row r="22" customFormat="false" ht="15" hidden="false" customHeight="true" outlineLevel="0" collapsed="false">
      <c r="A22" s="6" t="s">
        <v>32</v>
      </c>
      <c r="B22" s="7" t="n">
        <v>20</v>
      </c>
      <c r="C22" s="8" t="s">
        <v>33</v>
      </c>
    </row>
    <row r="23" customFormat="false" ht="15" hidden="false" customHeight="true" outlineLevel="0" collapsed="false">
      <c r="A23" s="6" t="s">
        <v>34</v>
      </c>
      <c r="B23" s="7" t="n">
        <v>25</v>
      </c>
      <c r="C23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5"/>
      <c r="B3" s="12" t="s">
        <v>37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  <c r="I3" s="12" t="s">
        <v>44</v>
      </c>
      <c r="J3" s="12" t="s">
        <v>45</v>
      </c>
      <c r="K3" s="12" t="s">
        <v>46</v>
      </c>
      <c r="L3" s="12" t="s">
        <v>47</v>
      </c>
      <c r="M3" s="12" t="s">
        <v>48</v>
      </c>
      <c r="N3" s="12" t="s">
        <v>49</v>
      </c>
    </row>
    <row r="4" customFormat="false" ht="15" hidden="false" customHeight="true" outlineLevel="0" collapsed="false">
      <c r="A4" s="6" t="s">
        <v>50</v>
      </c>
      <c r="B4" s="13" t="n">
        <f aca="false">Assumptions!$B$5*Assumptions!$B$6</f>
        <v>960</v>
      </c>
      <c r="C4" s="13" t="n">
        <f aca="false">Assumptions!$B$5*Assumptions!$B$6</f>
        <v>960</v>
      </c>
      <c r="D4" s="13" t="n">
        <f aca="false">Assumptions!$B$5*Assumptions!$B$6</f>
        <v>960</v>
      </c>
      <c r="E4" s="13" t="n">
        <f aca="false">Assumptions!$B$5*Assumptions!$B$6</f>
        <v>960</v>
      </c>
      <c r="F4" s="13" t="n">
        <f aca="false">Assumptions!$B$5*Assumptions!$B$6</f>
        <v>960</v>
      </c>
      <c r="G4" s="13" t="n">
        <f aca="false">Assumptions!$B$5*Assumptions!$B$6</f>
        <v>960</v>
      </c>
      <c r="H4" s="13" t="n">
        <f aca="false">Assumptions!$B$5*Assumptions!$B$6</f>
        <v>960</v>
      </c>
      <c r="I4" s="13" t="n">
        <f aca="false">Assumptions!$B$5*Assumptions!$B$6</f>
        <v>960</v>
      </c>
      <c r="J4" s="13" t="n">
        <f aca="false">Assumptions!$B$5*Assumptions!$B$6</f>
        <v>960</v>
      </c>
      <c r="K4" s="13" t="n">
        <f aca="false">Assumptions!$B$5*Assumptions!$B$6</f>
        <v>960</v>
      </c>
      <c r="L4" s="13" t="n">
        <f aca="false">Assumptions!$B$5*Assumptions!$B$6</f>
        <v>960</v>
      </c>
      <c r="M4" s="13" t="n">
        <f aca="false">Assumptions!$B$5*Assumptions!$B$6</f>
        <v>960</v>
      </c>
      <c r="N4" s="14" t="n">
        <f aca="false">SUM(B4:M4)</f>
        <v>11520</v>
      </c>
    </row>
    <row r="5" customFormat="false" ht="15" hidden="false" customHeight="true" outlineLevel="0" collapsed="false">
      <c r="A5" s="6" t="s">
        <v>51</v>
      </c>
      <c r="B5" s="13" t="n">
        <f aca="false">Assumptions!$B$7*Assumptions!$B$8</f>
        <v>450</v>
      </c>
      <c r="C5" s="13" t="n">
        <f aca="false">Assumptions!$B$7*Assumptions!$B$8</f>
        <v>450</v>
      </c>
      <c r="D5" s="13" t="n">
        <f aca="false">Assumptions!$B$7*Assumptions!$B$8</f>
        <v>450</v>
      </c>
      <c r="E5" s="13" t="n">
        <f aca="false">Assumptions!$B$7*Assumptions!$B$8</f>
        <v>450</v>
      </c>
      <c r="F5" s="13" t="n">
        <f aca="false">Assumptions!$B$7*Assumptions!$B$8</f>
        <v>450</v>
      </c>
      <c r="G5" s="13" t="n">
        <f aca="false">Assumptions!$B$7*Assumptions!$B$8</f>
        <v>450</v>
      </c>
      <c r="H5" s="13" t="n">
        <f aca="false">Assumptions!$B$7*Assumptions!$B$8</f>
        <v>450</v>
      </c>
      <c r="I5" s="13" t="n">
        <f aca="false">Assumptions!$B$7*Assumptions!$B$8</f>
        <v>450</v>
      </c>
      <c r="J5" s="13" t="n">
        <f aca="false">Assumptions!$B$7*Assumptions!$B$8</f>
        <v>450</v>
      </c>
      <c r="K5" s="13" t="n">
        <f aca="false">Assumptions!$B$7*Assumptions!$B$8</f>
        <v>450</v>
      </c>
      <c r="L5" s="13" t="n">
        <f aca="false">Assumptions!$B$7*Assumptions!$B$8</f>
        <v>450</v>
      </c>
      <c r="M5" s="13" t="n">
        <f aca="false">Assumptions!$B$7*Assumptions!$B$8</f>
        <v>450</v>
      </c>
      <c r="N5" s="14" t="n">
        <f aca="false">SUM(B5:M5)</f>
        <v>5400</v>
      </c>
    </row>
    <row r="6" customFormat="false" ht="15" hidden="false" customHeight="true" outlineLevel="0" collapsed="false">
      <c r="A6" s="15" t="s">
        <v>52</v>
      </c>
      <c r="B6" s="16" t="n">
        <f aca="false">B4+B5</f>
        <v>1410</v>
      </c>
      <c r="C6" s="16" t="n">
        <f aca="false">C4+C5</f>
        <v>1410</v>
      </c>
      <c r="D6" s="16" t="n">
        <f aca="false">D4+D5</f>
        <v>1410</v>
      </c>
      <c r="E6" s="16" t="n">
        <f aca="false">E4+E5</f>
        <v>1410</v>
      </c>
      <c r="F6" s="16" t="n">
        <f aca="false">F4+F5</f>
        <v>1410</v>
      </c>
      <c r="G6" s="16" t="n">
        <f aca="false">G4+G5</f>
        <v>1410</v>
      </c>
      <c r="H6" s="16" t="n">
        <f aca="false">H4+H5</f>
        <v>1410</v>
      </c>
      <c r="I6" s="16" t="n">
        <f aca="false">I4+I5</f>
        <v>1410</v>
      </c>
      <c r="J6" s="16" t="n">
        <f aca="false">J4+J5</f>
        <v>1410</v>
      </c>
      <c r="K6" s="16" t="n">
        <f aca="false">K4+K5</f>
        <v>1410</v>
      </c>
      <c r="L6" s="16" t="n">
        <f aca="false">L4+L5</f>
        <v>1410</v>
      </c>
      <c r="M6" s="16" t="n">
        <f aca="false">M4+M5</f>
        <v>1410</v>
      </c>
      <c r="N6" s="16" t="n">
        <f aca="false">SUM(B6:M6)</f>
        <v>16920</v>
      </c>
    </row>
    <row r="8" customFormat="false" ht="15" hidden="false" customHeight="true" outlineLevel="0" collapsed="false">
      <c r="A8" s="6" t="s">
        <v>53</v>
      </c>
      <c r="B8" s="13" t="n">
        <f aca="false">Assumptions!$B$10</f>
        <v>1000</v>
      </c>
      <c r="C8" s="13" t="n">
        <f aca="false">Assumptions!$B$10</f>
        <v>1000</v>
      </c>
      <c r="D8" s="13" t="n">
        <f aca="false">Assumptions!$B$10</f>
        <v>1000</v>
      </c>
      <c r="E8" s="13" t="n">
        <f aca="false">Assumptions!$B$10</f>
        <v>1000</v>
      </c>
      <c r="F8" s="13" t="n">
        <f aca="false">Assumptions!$B$10</f>
        <v>1000</v>
      </c>
      <c r="G8" s="13" t="n">
        <f aca="false">Assumptions!$B$10</f>
        <v>1000</v>
      </c>
      <c r="H8" s="13" t="n">
        <f aca="false">Assumptions!$B$10</f>
        <v>1000</v>
      </c>
      <c r="I8" s="13" t="n">
        <f aca="false">Assumptions!$B$10</f>
        <v>1000</v>
      </c>
      <c r="J8" s="13" t="n">
        <f aca="false">Assumptions!$B$10</f>
        <v>1000</v>
      </c>
      <c r="K8" s="13" t="n">
        <f aca="false">Assumptions!$B$10</f>
        <v>1000</v>
      </c>
      <c r="L8" s="13" t="n">
        <f aca="false">Assumptions!$B$10</f>
        <v>1000</v>
      </c>
      <c r="M8" s="13" t="n">
        <f aca="false">Assumptions!$B$10</f>
        <v>1000</v>
      </c>
      <c r="N8" s="14" t="n">
        <f aca="false">SUM(B8:M8)</f>
        <v>12000</v>
      </c>
    </row>
    <row r="9" customFormat="false" ht="15" hidden="false" customHeight="true" outlineLevel="0" collapsed="false">
      <c r="A9" s="6" t="s">
        <v>54</v>
      </c>
      <c r="B9" s="13" t="n">
        <f aca="false">Assumptions!$B$11</f>
        <v>50</v>
      </c>
      <c r="C9" s="13" t="n">
        <f aca="false">Assumptions!$B$11</f>
        <v>50</v>
      </c>
      <c r="D9" s="13" t="n">
        <f aca="false">Assumptions!$B$11</f>
        <v>50</v>
      </c>
      <c r="E9" s="13" t="n">
        <f aca="false">Assumptions!$B$11</f>
        <v>50</v>
      </c>
      <c r="F9" s="13" t="n">
        <f aca="false">Assumptions!$B$11</f>
        <v>50</v>
      </c>
      <c r="G9" s="13" t="n">
        <f aca="false">Assumptions!$B$11</f>
        <v>50</v>
      </c>
      <c r="H9" s="13" t="n">
        <f aca="false">Assumptions!$B$11</f>
        <v>50</v>
      </c>
      <c r="I9" s="13" t="n">
        <f aca="false">Assumptions!$B$11</f>
        <v>50</v>
      </c>
      <c r="J9" s="13" t="n">
        <f aca="false">Assumptions!$B$11</f>
        <v>50</v>
      </c>
      <c r="K9" s="13" t="n">
        <f aca="false">Assumptions!$B$11</f>
        <v>50</v>
      </c>
      <c r="L9" s="13" t="n">
        <f aca="false">Assumptions!$B$11</f>
        <v>50</v>
      </c>
      <c r="M9" s="13" t="n">
        <f aca="false">Assumptions!$B$11</f>
        <v>50</v>
      </c>
      <c r="N9" s="14" t="n">
        <f aca="false">SUM(B9:M9)</f>
        <v>600</v>
      </c>
    </row>
    <row r="10" customFormat="false" ht="15" hidden="false" customHeight="true" outlineLevel="0" collapsed="false">
      <c r="A10" s="6" t="s">
        <v>55</v>
      </c>
      <c r="B10" s="17" t="n">
        <f aca="false">B6*Assumptions!$B$12+(Assumptions!$B$6+Assumptions!$B$8)*Assumptions!$B$13</f>
        <v>48.99</v>
      </c>
      <c r="C10" s="17" t="n">
        <f aca="false">C6*Assumptions!$B$12+(Assumptions!$B$6+Assumptions!$B$8)*Assumptions!$B$13</f>
        <v>48.99</v>
      </c>
      <c r="D10" s="17" t="n">
        <f aca="false">D6*Assumptions!$B$12+(Assumptions!$B$6+Assumptions!$B$8)*Assumptions!$B$13</f>
        <v>48.99</v>
      </c>
      <c r="E10" s="17" t="n">
        <f aca="false">E6*Assumptions!$B$12+(Assumptions!$B$6+Assumptions!$B$8)*Assumptions!$B$13</f>
        <v>48.99</v>
      </c>
      <c r="F10" s="17" t="n">
        <f aca="false">F6*Assumptions!$B$12+(Assumptions!$B$6+Assumptions!$B$8)*Assumptions!$B$13</f>
        <v>48.99</v>
      </c>
      <c r="G10" s="17" t="n">
        <f aca="false">G6*Assumptions!$B$12+(Assumptions!$B$6+Assumptions!$B$8)*Assumptions!$B$13</f>
        <v>48.99</v>
      </c>
      <c r="H10" s="17" t="n">
        <f aca="false">H6*Assumptions!$B$12+(Assumptions!$B$6+Assumptions!$B$8)*Assumptions!$B$13</f>
        <v>48.99</v>
      </c>
      <c r="I10" s="17" t="n">
        <f aca="false">I6*Assumptions!$B$12+(Assumptions!$B$6+Assumptions!$B$8)*Assumptions!$B$13</f>
        <v>48.99</v>
      </c>
      <c r="J10" s="17" t="n">
        <f aca="false">J6*Assumptions!$B$12+(Assumptions!$B$6+Assumptions!$B$8)*Assumptions!$B$13</f>
        <v>48.99</v>
      </c>
      <c r="K10" s="17" t="n">
        <f aca="false">K6*Assumptions!$B$12+(Assumptions!$B$6+Assumptions!$B$8)*Assumptions!$B$13</f>
        <v>48.99</v>
      </c>
      <c r="L10" s="17" t="n">
        <f aca="false">L6*Assumptions!$B$12+(Assumptions!$B$6+Assumptions!$B$8)*Assumptions!$B$13</f>
        <v>48.99</v>
      </c>
      <c r="M10" s="17" t="n">
        <f aca="false">M6*Assumptions!$B$12+(Assumptions!$B$6+Assumptions!$B$8)*Assumptions!$B$13</f>
        <v>48.99</v>
      </c>
      <c r="N10" s="14" t="n">
        <f aca="false">SUM(B10:M10)</f>
        <v>587.88</v>
      </c>
    </row>
    <row r="11" customFormat="false" ht="15" hidden="false" customHeight="true" outlineLevel="0" collapsed="false">
      <c r="A11" s="6" t="s">
        <v>56</v>
      </c>
      <c r="B11" s="13" t="n">
        <f aca="false">Assumptions!$B$15</f>
        <v>7</v>
      </c>
      <c r="C11" s="13" t="n">
        <f aca="false">Assumptions!$B$15</f>
        <v>7</v>
      </c>
      <c r="D11" s="13" t="n">
        <f aca="false">Assumptions!$B$15</f>
        <v>7</v>
      </c>
      <c r="E11" s="13" t="n">
        <f aca="false">Assumptions!$B$15</f>
        <v>7</v>
      </c>
      <c r="F11" s="13" t="n">
        <f aca="false">Assumptions!$B$15</f>
        <v>7</v>
      </c>
      <c r="G11" s="13" t="n">
        <f aca="false">Assumptions!$B$15</f>
        <v>7</v>
      </c>
      <c r="H11" s="13" t="n">
        <f aca="false">Assumptions!$B$15</f>
        <v>7</v>
      </c>
      <c r="I11" s="13" t="n">
        <f aca="false">Assumptions!$B$15</f>
        <v>7</v>
      </c>
      <c r="J11" s="13" t="n">
        <f aca="false">Assumptions!$B$15</f>
        <v>7</v>
      </c>
      <c r="K11" s="13" t="n">
        <f aca="false">Assumptions!$B$15</f>
        <v>7</v>
      </c>
      <c r="L11" s="13" t="n">
        <f aca="false">Assumptions!$B$15</f>
        <v>7</v>
      </c>
      <c r="M11" s="13" t="n">
        <f aca="false">Assumptions!$B$15</f>
        <v>7</v>
      </c>
      <c r="N11" s="14" t="n">
        <f aca="false">SUM(B11:M11)</f>
        <v>84</v>
      </c>
    </row>
    <row r="12" customFormat="false" ht="15" hidden="false" customHeight="true" outlineLevel="0" collapsed="false">
      <c r="A12" s="6" t="s">
        <v>57</v>
      </c>
      <c r="B12" s="13" t="n">
        <f aca="false">Assumptions!$B$16</f>
        <v>25</v>
      </c>
      <c r="C12" s="13" t="n">
        <f aca="false">Assumptions!$B$16</f>
        <v>25</v>
      </c>
      <c r="D12" s="13" t="n">
        <f aca="false">Assumptions!$B$16</f>
        <v>25</v>
      </c>
      <c r="E12" s="13" t="n">
        <f aca="false">Assumptions!$B$16</f>
        <v>25</v>
      </c>
      <c r="F12" s="13" t="n">
        <f aca="false">Assumptions!$B$16</f>
        <v>25</v>
      </c>
      <c r="G12" s="13" t="n">
        <f aca="false">Assumptions!$B$16</f>
        <v>25</v>
      </c>
      <c r="H12" s="13" t="n">
        <f aca="false">Assumptions!$B$16</f>
        <v>25</v>
      </c>
      <c r="I12" s="13" t="n">
        <f aca="false">Assumptions!$B$16</f>
        <v>25</v>
      </c>
      <c r="J12" s="13" t="n">
        <f aca="false">Assumptions!$B$16</f>
        <v>25</v>
      </c>
      <c r="K12" s="13" t="n">
        <f aca="false">Assumptions!$B$16</f>
        <v>25</v>
      </c>
      <c r="L12" s="13" t="n">
        <f aca="false">Assumptions!$B$16</f>
        <v>25</v>
      </c>
      <c r="M12" s="13" t="n">
        <f aca="false">Assumptions!$B$16</f>
        <v>25</v>
      </c>
      <c r="N12" s="14" t="n">
        <f aca="false">SUM(B12:M12)</f>
        <v>300</v>
      </c>
    </row>
    <row r="13" customFormat="false" ht="15" hidden="false" customHeight="true" outlineLevel="0" collapsed="false">
      <c r="A13" s="6" t="s">
        <v>58</v>
      </c>
      <c r="B13" s="13" t="n">
        <f aca="false">Assumptions!$B$17</f>
        <v>20</v>
      </c>
      <c r="C13" s="13" t="n">
        <f aca="false">Assumptions!$B$17</f>
        <v>20</v>
      </c>
      <c r="D13" s="13" t="n">
        <f aca="false">Assumptions!$B$17</f>
        <v>20</v>
      </c>
      <c r="E13" s="13" t="n">
        <f aca="false">Assumptions!$B$17</f>
        <v>20</v>
      </c>
      <c r="F13" s="13" t="n">
        <f aca="false">Assumptions!$B$17</f>
        <v>20</v>
      </c>
      <c r="G13" s="13" t="n">
        <f aca="false">Assumptions!$B$17</f>
        <v>20</v>
      </c>
      <c r="H13" s="13" t="n">
        <f aca="false">Assumptions!$B$17</f>
        <v>20</v>
      </c>
      <c r="I13" s="13" t="n">
        <f aca="false">Assumptions!$B$17</f>
        <v>20</v>
      </c>
      <c r="J13" s="13" t="n">
        <f aca="false">Assumptions!$B$17</f>
        <v>20</v>
      </c>
      <c r="K13" s="13" t="n">
        <f aca="false">Assumptions!$B$17</f>
        <v>20</v>
      </c>
      <c r="L13" s="13" t="n">
        <f aca="false">Assumptions!$B$17</f>
        <v>20</v>
      </c>
      <c r="M13" s="13" t="n">
        <f aca="false">Assumptions!$B$17</f>
        <v>20</v>
      </c>
      <c r="N13" s="14" t="n">
        <f aca="false">SUM(B13:M13)</f>
        <v>240</v>
      </c>
    </row>
    <row r="14" customFormat="false" ht="15" hidden="false" customHeight="true" outlineLevel="0" collapsed="false">
      <c r="A14" s="6" t="s">
        <v>59</v>
      </c>
      <c r="B14" s="13" t="n">
        <f aca="false">Assumptions!$B$18</f>
        <v>25</v>
      </c>
      <c r="C14" s="13" t="n">
        <f aca="false">Assumptions!$B$18</f>
        <v>25</v>
      </c>
      <c r="D14" s="13" t="n">
        <f aca="false">Assumptions!$B$18</f>
        <v>25</v>
      </c>
      <c r="E14" s="13" t="n">
        <f aca="false">Assumptions!$B$18</f>
        <v>25</v>
      </c>
      <c r="F14" s="13" t="n">
        <f aca="false">Assumptions!$B$18</f>
        <v>25</v>
      </c>
      <c r="G14" s="13" t="n">
        <f aca="false">Assumptions!$B$18</f>
        <v>25</v>
      </c>
      <c r="H14" s="13" t="n">
        <f aca="false">Assumptions!$B$18</f>
        <v>25</v>
      </c>
      <c r="I14" s="13" t="n">
        <f aca="false">Assumptions!$B$18</f>
        <v>25</v>
      </c>
      <c r="J14" s="13" t="n">
        <f aca="false">Assumptions!$B$18</f>
        <v>25</v>
      </c>
      <c r="K14" s="13" t="n">
        <f aca="false">Assumptions!$B$18</f>
        <v>25</v>
      </c>
      <c r="L14" s="13" t="n">
        <f aca="false">Assumptions!$B$18</f>
        <v>25</v>
      </c>
      <c r="M14" s="13" t="n">
        <f aca="false">Assumptions!$B$18</f>
        <v>25</v>
      </c>
      <c r="N14" s="14" t="n">
        <f aca="false">SUM(B14:M14)</f>
        <v>300</v>
      </c>
    </row>
    <row r="15" customFormat="false" ht="15" hidden="false" customHeight="true" outlineLevel="0" collapsed="false">
      <c r="A15" s="6" t="s">
        <v>60</v>
      </c>
      <c r="B15" s="13" t="n">
        <f aca="false">Assumptions!$B$19</f>
        <v>0</v>
      </c>
      <c r="C15" s="13" t="n">
        <f aca="false">Assumptions!$B$19</f>
        <v>0</v>
      </c>
      <c r="D15" s="13" t="n">
        <f aca="false">Assumptions!$B$19</f>
        <v>0</v>
      </c>
      <c r="E15" s="13" t="n">
        <f aca="false">Assumptions!$B$19</f>
        <v>0</v>
      </c>
      <c r="F15" s="13" t="n">
        <f aca="false">Assumptions!$B$19</f>
        <v>0</v>
      </c>
      <c r="G15" s="13" t="n">
        <f aca="false">Assumptions!$B$19</f>
        <v>0</v>
      </c>
      <c r="H15" s="13" t="n">
        <f aca="false">Assumptions!$B$19</f>
        <v>0</v>
      </c>
      <c r="I15" s="13" t="n">
        <f aca="false">Assumptions!$B$19</f>
        <v>0</v>
      </c>
      <c r="J15" s="13" t="n">
        <f aca="false">Assumptions!$B$19</f>
        <v>0</v>
      </c>
      <c r="K15" s="13" t="n">
        <f aca="false">Assumptions!$B$19</f>
        <v>0</v>
      </c>
      <c r="L15" s="13" t="n">
        <f aca="false">Assumptions!$B$19</f>
        <v>0</v>
      </c>
      <c r="M15" s="13" t="n">
        <f aca="false">Assumptions!$B$19</f>
        <v>0</v>
      </c>
      <c r="N15" s="14" t="n">
        <f aca="false">SUM(B15:M15)</f>
        <v>0</v>
      </c>
    </row>
    <row r="16" customFormat="false" ht="15" hidden="false" customHeight="true" outlineLevel="0" collapsed="false">
      <c r="A16" s="6" t="s">
        <v>61</v>
      </c>
      <c r="B16" s="17" t="n">
        <f aca="false">(Assumptions!$B$21+Assumptions!$B$22)/12</f>
        <v>9.91666666666667</v>
      </c>
      <c r="C16" s="17" t="n">
        <f aca="false">(Assumptions!$B$21+Assumptions!$B$22)/12</f>
        <v>9.91666666666667</v>
      </c>
      <c r="D16" s="17" t="n">
        <f aca="false">(Assumptions!$B$21+Assumptions!$B$22)/12</f>
        <v>9.91666666666667</v>
      </c>
      <c r="E16" s="17" t="n">
        <f aca="false">(Assumptions!$B$21+Assumptions!$B$22)/12</f>
        <v>9.91666666666667</v>
      </c>
      <c r="F16" s="17" t="n">
        <f aca="false">(Assumptions!$B$21+Assumptions!$B$22)/12</f>
        <v>9.91666666666667</v>
      </c>
      <c r="G16" s="17" t="n">
        <f aca="false">(Assumptions!$B$21+Assumptions!$B$22)/12</f>
        <v>9.91666666666667</v>
      </c>
      <c r="H16" s="17" t="n">
        <f aca="false">(Assumptions!$B$21+Assumptions!$B$22)/12</f>
        <v>9.91666666666667</v>
      </c>
      <c r="I16" s="17" t="n">
        <f aca="false">(Assumptions!$B$21+Assumptions!$B$22)/12</f>
        <v>9.91666666666667</v>
      </c>
      <c r="J16" s="17" t="n">
        <f aca="false">(Assumptions!$B$21+Assumptions!$B$22)/12</f>
        <v>9.91666666666667</v>
      </c>
      <c r="K16" s="17" t="n">
        <f aca="false">(Assumptions!$B$21+Assumptions!$B$22)/12</f>
        <v>9.91666666666667</v>
      </c>
      <c r="L16" s="17" t="n">
        <f aca="false">(Assumptions!$B$21+Assumptions!$B$22)/12</f>
        <v>9.91666666666667</v>
      </c>
      <c r="M16" s="17" t="n">
        <f aca="false">(Assumptions!$B$21+Assumptions!$B$22)/12</f>
        <v>9.91666666666667</v>
      </c>
      <c r="N16" s="14" t="n">
        <f aca="false">SUM(B16:M16)</f>
        <v>119</v>
      </c>
    </row>
    <row r="17" customFormat="false" ht="15" hidden="false" customHeight="true" outlineLevel="0" collapsed="false">
      <c r="A17" s="6" t="s">
        <v>62</v>
      </c>
      <c r="B17" s="13" t="n">
        <f aca="false">Assumptions!$B$23</f>
        <v>25</v>
      </c>
      <c r="C17" s="17" t="n">
        <f aca="false">0</f>
        <v>0</v>
      </c>
      <c r="D17" s="17" t="n">
        <f aca="false">0</f>
        <v>0</v>
      </c>
      <c r="E17" s="17" t="n">
        <f aca="false">0</f>
        <v>0</v>
      </c>
      <c r="F17" s="17" t="n">
        <f aca="false">0</f>
        <v>0</v>
      </c>
      <c r="G17" s="17" t="n">
        <f aca="false">0</f>
        <v>0</v>
      </c>
      <c r="H17" s="17" t="n">
        <f aca="false">0</f>
        <v>0</v>
      </c>
      <c r="I17" s="17" t="n">
        <f aca="false">0</f>
        <v>0</v>
      </c>
      <c r="J17" s="17" t="n">
        <f aca="false">0</f>
        <v>0</v>
      </c>
      <c r="K17" s="17" t="n">
        <f aca="false">0</f>
        <v>0</v>
      </c>
      <c r="L17" s="17" t="n">
        <f aca="false">0</f>
        <v>0</v>
      </c>
      <c r="M17" s="17" t="n">
        <f aca="false">0</f>
        <v>0</v>
      </c>
      <c r="N17" s="14" t="n">
        <f aca="false">SUM(B17:M17)</f>
        <v>25</v>
      </c>
    </row>
    <row r="18" customFormat="false" ht="15" hidden="false" customHeight="true" outlineLevel="0" collapsed="false">
      <c r="A18" s="15" t="s">
        <v>63</v>
      </c>
      <c r="B18" s="16" t="n">
        <f aca="false">SUM(B8:B17)</f>
        <v>1210.90666666667</v>
      </c>
      <c r="C18" s="16" t="n">
        <f aca="false">SUM(C8:C17)</f>
        <v>1185.90666666667</v>
      </c>
      <c r="D18" s="16" t="n">
        <f aca="false">SUM(D8:D17)</f>
        <v>1185.90666666667</v>
      </c>
      <c r="E18" s="16" t="n">
        <f aca="false">SUM(E8:E17)</f>
        <v>1185.90666666667</v>
      </c>
      <c r="F18" s="16" t="n">
        <f aca="false">SUM(F8:F17)</f>
        <v>1185.90666666667</v>
      </c>
      <c r="G18" s="16" t="n">
        <f aca="false">SUM(G8:G17)</f>
        <v>1185.90666666667</v>
      </c>
      <c r="H18" s="16" t="n">
        <f aca="false">SUM(H8:H17)</f>
        <v>1185.90666666667</v>
      </c>
      <c r="I18" s="16" t="n">
        <f aca="false">SUM(I8:I17)</f>
        <v>1185.90666666667</v>
      </c>
      <c r="J18" s="16" t="n">
        <f aca="false">SUM(J8:J17)</f>
        <v>1185.90666666667</v>
      </c>
      <c r="K18" s="16" t="n">
        <f aca="false">SUM(K8:K17)</f>
        <v>1185.90666666667</v>
      </c>
      <c r="L18" s="16" t="n">
        <f aca="false">SUM(L8:L17)</f>
        <v>1185.90666666667</v>
      </c>
      <c r="M18" s="16" t="n">
        <f aca="false">SUM(M8:M17)</f>
        <v>1185.90666666667</v>
      </c>
      <c r="N18" s="16" t="n">
        <f aca="false">SUM(B18:M18)</f>
        <v>14255.88</v>
      </c>
    </row>
    <row r="20" customFormat="false" ht="15" hidden="false" customHeight="true" outlineLevel="0" collapsed="false">
      <c r="A20" s="18" t="s">
        <v>64</v>
      </c>
      <c r="B20" s="19" t="n">
        <f aca="false">B6-B18</f>
        <v>199.093333333333</v>
      </c>
      <c r="C20" s="19" t="n">
        <f aca="false">C6-C18</f>
        <v>224.093333333333</v>
      </c>
      <c r="D20" s="19" t="n">
        <f aca="false">D6-D18</f>
        <v>224.093333333333</v>
      </c>
      <c r="E20" s="19" t="n">
        <f aca="false">E6-E18</f>
        <v>224.093333333333</v>
      </c>
      <c r="F20" s="19" t="n">
        <f aca="false">F6-F18</f>
        <v>224.093333333333</v>
      </c>
      <c r="G20" s="19" t="n">
        <f aca="false">G6-G18</f>
        <v>224.093333333333</v>
      </c>
      <c r="H20" s="19" t="n">
        <f aca="false">H6-H18</f>
        <v>224.093333333333</v>
      </c>
      <c r="I20" s="19" t="n">
        <f aca="false">I6-I18</f>
        <v>224.093333333333</v>
      </c>
      <c r="J20" s="19" t="n">
        <f aca="false">J6-J18</f>
        <v>224.093333333333</v>
      </c>
      <c r="K20" s="19" t="n">
        <f aca="false">K6-K18</f>
        <v>224.093333333333</v>
      </c>
      <c r="L20" s="19" t="n">
        <f aca="false">L6-L18</f>
        <v>224.093333333333</v>
      </c>
      <c r="M20" s="19" t="n">
        <f aca="false">M6-M18</f>
        <v>224.093333333333</v>
      </c>
      <c r="N20" s="19" t="n">
        <f aca="false">SUM(B20:M20)</f>
        <v>2664.12</v>
      </c>
    </row>
    <row r="21" customFormat="false" ht="15" hidden="false" customHeight="true" outlineLevel="0" collapsed="false">
      <c r="A21" s="18" t="s">
        <v>65</v>
      </c>
      <c r="B21" s="14" t="n">
        <f aca="false">B20</f>
        <v>199.093333333333</v>
      </c>
      <c r="C21" s="14" t="n">
        <f aca="false">B21+C20</f>
        <v>423.186666666667</v>
      </c>
      <c r="D21" s="14" t="n">
        <f aca="false">C21+D20</f>
        <v>647.28</v>
      </c>
      <c r="E21" s="14" t="n">
        <f aca="false">D21+E20</f>
        <v>871.373333333333</v>
      </c>
      <c r="F21" s="14" t="n">
        <f aca="false">E21+F20</f>
        <v>1095.46666666667</v>
      </c>
      <c r="G21" s="14" t="n">
        <f aca="false">F21+G20</f>
        <v>1319.56</v>
      </c>
      <c r="H21" s="14" t="n">
        <f aca="false">G21+H20</f>
        <v>1543.65333333333</v>
      </c>
      <c r="I21" s="14" t="n">
        <f aca="false">H21+I20</f>
        <v>1767.74666666667</v>
      </c>
      <c r="J21" s="14" t="n">
        <f aca="false">I21+J20</f>
        <v>1991.84</v>
      </c>
      <c r="K21" s="14" t="n">
        <f aca="false">J21+K20</f>
        <v>2215.93333333333</v>
      </c>
      <c r="L21" s="14" t="n">
        <f aca="false">K21+L20</f>
        <v>2440.02666666667</v>
      </c>
      <c r="M21" s="14" t="n">
        <f aca="false">L21+M20</f>
        <v>2664.12</v>
      </c>
      <c r="N21" s="14" t="n">
        <f aca="false">N20</f>
        <v>2664.12</v>
      </c>
    </row>
    <row r="23" customFormat="false" ht="15" hidden="false" customHeight="true" outlineLevel="0" collapsed="false">
      <c r="A23" s="18" t="s">
        <v>66</v>
      </c>
      <c r="N23" s="20" t="n">
        <f aca="false">N20/N6</f>
        <v>0.15745390070922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</cols>
  <sheetData>
    <row r="1" customFormat="false" ht="17.25" hidden="false" customHeight="true" outlineLevel="0" collapsed="false">
      <c r="A1" s="2" t="s">
        <v>67</v>
      </c>
    </row>
    <row r="3" customFormat="false" ht="15" hidden="false" customHeight="true" outlineLevel="0" collapsed="false">
      <c r="A3" s="4"/>
      <c r="B3" s="4" t="s">
        <v>68</v>
      </c>
      <c r="C3" s="4" t="s">
        <v>69</v>
      </c>
    </row>
    <row r="4" customFormat="false" ht="15" hidden="false" customHeight="true" outlineLevel="0" collapsed="false">
      <c r="A4" s="6" t="s">
        <v>70</v>
      </c>
      <c r="B4" s="13" t="n">
        <f aca="false">'Monthly P&amp;L'!N4</f>
        <v>11520</v>
      </c>
      <c r="C4" s="21" t="n">
        <f aca="false">B4/$B$6</f>
        <v>0.680851063829787</v>
      </c>
    </row>
    <row r="5" customFormat="false" ht="15" hidden="false" customHeight="true" outlineLevel="0" collapsed="false">
      <c r="A5" s="6" t="s">
        <v>71</v>
      </c>
      <c r="B5" s="13" t="n">
        <f aca="false">'Monthly P&amp;L'!N5</f>
        <v>5400</v>
      </c>
      <c r="C5" s="21" t="n">
        <f aca="false">B5/$B$6</f>
        <v>0.319148936170213</v>
      </c>
    </row>
    <row r="6" customFormat="false" ht="15" hidden="false" customHeight="true" outlineLevel="0" collapsed="false">
      <c r="A6" s="22" t="s">
        <v>52</v>
      </c>
      <c r="B6" s="23" t="n">
        <f aca="false">'Monthly P&amp;L'!N6</f>
        <v>16920</v>
      </c>
      <c r="C6" s="24" t="n">
        <f aca="false">B6/$B$6</f>
        <v>1</v>
      </c>
    </row>
    <row r="7" customFormat="false" ht="15" hidden="false" customHeight="true" outlineLevel="0" collapsed="false">
      <c r="A7" s="6" t="s">
        <v>53</v>
      </c>
      <c r="B7" s="13" t="n">
        <f aca="false">'Monthly P&amp;L'!N8</f>
        <v>12000</v>
      </c>
      <c r="C7" s="21" t="n">
        <f aca="false">B7/$B$6</f>
        <v>0.709219858156028</v>
      </c>
    </row>
    <row r="8" customFormat="false" ht="15" hidden="false" customHeight="true" outlineLevel="0" collapsed="false">
      <c r="A8" s="6" t="s">
        <v>54</v>
      </c>
      <c r="B8" s="13" t="n">
        <f aca="false">'Monthly P&amp;L'!N9</f>
        <v>600</v>
      </c>
      <c r="C8" s="21" t="n">
        <f aca="false">B8/$B$6</f>
        <v>0.0354609929078014</v>
      </c>
    </row>
    <row r="9" customFormat="false" ht="15" hidden="false" customHeight="true" outlineLevel="0" collapsed="false">
      <c r="A9" s="6" t="s">
        <v>55</v>
      </c>
      <c r="B9" s="13" t="n">
        <f aca="false">'Monthly P&amp;L'!N10</f>
        <v>587.88</v>
      </c>
      <c r="C9" s="21" t="n">
        <f aca="false">B9/$B$6</f>
        <v>0.0347446808510638</v>
      </c>
    </row>
    <row r="10" customFormat="false" ht="15" hidden="false" customHeight="true" outlineLevel="0" collapsed="false">
      <c r="A10" s="6" t="s">
        <v>72</v>
      </c>
      <c r="B10" s="13" t="n">
        <f aca="false">'Monthly P&amp;L'!N11+'Monthly P&amp;L'!N12+'Monthly P&amp;L'!N13+'Monthly P&amp;L'!N14+'Monthly P&amp;L'!N15</f>
        <v>924</v>
      </c>
      <c r="C10" s="21" t="n">
        <f aca="false">B10/$B$6</f>
        <v>0.0546099290780142</v>
      </c>
    </row>
    <row r="11" customFormat="false" ht="15" hidden="false" customHeight="true" outlineLevel="0" collapsed="false">
      <c r="A11" s="6" t="s">
        <v>73</v>
      </c>
      <c r="B11" s="13" t="n">
        <f aca="false">'Monthly P&amp;L'!N16+'Monthly P&amp;L'!N17</f>
        <v>144</v>
      </c>
      <c r="C11" s="21" t="n">
        <f aca="false">B11/$B$6</f>
        <v>0.00851063829787234</v>
      </c>
    </row>
    <row r="12" customFormat="false" ht="15" hidden="false" customHeight="true" outlineLevel="0" collapsed="false">
      <c r="A12" s="22" t="s">
        <v>63</v>
      </c>
      <c r="B12" s="23" t="n">
        <f aca="false">'Monthly P&amp;L'!N18</f>
        <v>14255.88</v>
      </c>
      <c r="C12" s="24" t="n">
        <f aca="false">B12/$B$6</f>
        <v>0.84254609929078</v>
      </c>
    </row>
    <row r="13" customFormat="false" ht="15" hidden="false" customHeight="true" outlineLevel="0" collapsed="false">
      <c r="A13" s="22" t="s">
        <v>64</v>
      </c>
      <c r="B13" s="23" t="n">
        <f aca="false">'Monthly P&amp;L'!N20</f>
        <v>2664.12</v>
      </c>
      <c r="C13" s="24" t="n">
        <f aca="false">B13/$B$6</f>
        <v>0.15745390070922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74</v>
      </c>
    </row>
    <row r="2" customFormat="false" ht="15" hidden="false" customHeight="true" outlineLevel="0" collapsed="false">
      <c r="A2" s="3" t="s">
        <v>75</v>
      </c>
    </row>
    <row r="4" customFormat="false" ht="15" hidden="false" customHeight="true" outlineLevel="0" collapsed="false">
      <c r="A4" s="18" t="s">
        <v>76</v>
      </c>
      <c r="B4" s="25" t="n">
        <v>0</v>
      </c>
      <c r="C4" s="25" t="n">
        <v>500</v>
      </c>
      <c r="D4" s="25" t="n">
        <v>1000</v>
      </c>
      <c r="E4" s="25" t="n">
        <v>1500</v>
      </c>
      <c r="F4" s="25" t="n">
        <v>2000</v>
      </c>
    </row>
    <row r="5" customFormat="false" ht="15" hidden="false" customHeight="true" outlineLevel="0" collapsed="false">
      <c r="A5" s="9" t="n">
        <v>12</v>
      </c>
      <c r="B5" s="26" t="n">
        <f aca="false">($A5*Assumptions!$B$5+Assumptions!$B$8*Assumptions!$B$7)*12*(1-Assumptions!$B$12)-($A5+Assumptions!$B$8)*Assumptions!$B$13*12-B$4*12-(Assumptions!$B$11+Assumptions!$B$15+Assumptions!$B$16+Assumptions!$B$17+Assumptions!$B$18+Assumptions!$B$19)*12-Assumptions!$B$21-Assumptions!$B$22-Assumptions!$B$23</f>
        <v>9114.36</v>
      </c>
      <c r="C5" s="26" t="n">
        <f aca="false">($A5*Assumptions!$B$5+Assumptions!$B$8*Assumptions!$B$7)*12*(1-Assumptions!$B$12)-($A5+Assumptions!$B$8)*Assumptions!$B$13*12-C$4*12-(Assumptions!$B$11+Assumptions!$B$15+Assumptions!$B$16+Assumptions!$B$17+Assumptions!$B$18+Assumptions!$B$19)*12-Assumptions!$B$21-Assumptions!$B$22-Assumptions!$B$23</f>
        <v>3114.36</v>
      </c>
      <c r="D5" s="26" t="n">
        <f aca="false">($A5*Assumptions!$B$5+Assumptions!$B$8*Assumptions!$B$7)*12*(1-Assumptions!$B$12)-($A5+Assumptions!$B$8)*Assumptions!$B$13*12-D$4*12-(Assumptions!$B$11+Assumptions!$B$15+Assumptions!$B$16+Assumptions!$B$17+Assumptions!$B$18+Assumptions!$B$19)*12-Assumptions!$B$21-Assumptions!$B$22-Assumptions!$B$23</f>
        <v>-2885.64</v>
      </c>
      <c r="E5" s="26" t="n">
        <f aca="false">($A5*Assumptions!$B$5+Assumptions!$B$8*Assumptions!$B$7)*12*(1-Assumptions!$B$12)-($A5+Assumptions!$B$8)*Assumptions!$B$13*12-E$4*12-(Assumptions!$B$11+Assumptions!$B$15+Assumptions!$B$16+Assumptions!$B$17+Assumptions!$B$18+Assumptions!$B$19)*12-Assumptions!$B$21-Assumptions!$B$22-Assumptions!$B$23</f>
        <v>-8885.64</v>
      </c>
      <c r="F5" s="26" t="n">
        <f aca="false">($A5*Assumptions!$B$5+Assumptions!$B$8*Assumptions!$B$7)*12*(1-Assumptions!$B$12)-($A5+Assumptions!$B$8)*Assumptions!$B$13*12-F$4*12-(Assumptions!$B$11+Assumptions!$B$15+Assumptions!$B$16+Assumptions!$B$17+Assumptions!$B$18+Assumptions!$B$19)*12-Assumptions!$B$21-Assumptions!$B$22-Assumptions!$B$23</f>
        <v>-14885.64</v>
      </c>
    </row>
    <row r="6" customFormat="false" ht="15" hidden="false" customHeight="true" outlineLevel="0" collapsed="false">
      <c r="A6" s="9" t="n">
        <v>18</v>
      </c>
      <c r="B6" s="26" t="n">
        <f aca="false">($A6*Assumptions!$B$5+Assumptions!$B$8*Assumptions!$B$7)*12*(1-Assumptions!$B$12)-($A6+Assumptions!$B$8)*Assumptions!$B$13*12-B$4*12-(Assumptions!$B$11+Assumptions!$B$15+Assumptions!$B$16+Assumptions!$B$17+Assumptions!$B$18+Assumptions!$B$19)*12-Assumptions!$B$21-Assumptions!$B$22-Assumptions!$B$23</f>
        <v>11889.24</v>
      </c>
      <c r="C6" s="26" t="n">
        <f aca="false">($A6*Assumptions!$B$5+Assumptions!$B$8*Assumptions!$B$7)*12*(1-Assumptions!$B$12)-($A6+Assumptions!$B$8)*Assumptions!$B$13*12-C$4*12-(Assumptions!$B$11+Assumptions!$B$15+Assumptions!$B$16+Assumptions!$B$17+Assumptions!$B$18+Assumptions!$B$19)*12-Assumptions!$B$21-Assumptions!$B$22-Assumptions!$B$23</f>
        <v>5889.24</v>
      </c>
      <c r="D6" s="26" t="n">
        <f aca="false">($A6*Assumptions!$B$5+Assumptions!$B$8*Assumptions!$B$7)*12*(1-Assumptions!$B$12)-($A6+Assumptions!$B$8)*Assumptions!$B$13*12-D$4*12-(Assumptions!$B$11+Assumptions!$B$15+Assumptions!$B$16+Assumptions!$B$17+Assumptions!$B$18+Assumptions!$B$19)*12-Assumptions!$B$21-Assumptions!$B$22-Assumptions!$B$23</f>
        <v>-110.76</v>
      </c>
      <c r="E6" s="26" t="n">
        <f aca="false">($A6*Assumptions!$B$5+Assumptions!$B$8*Assumptions!$B$7)*12*(1-Assumptions!$B$12)-($A6+Assumptions!$B$8)*Assumptions!$B$13*12-E$4*12-(Assumptions!$B$11+Assumptions!$B$15+Assumptions!$B$16+Assumptions!$B$17+Assumptions!$B$18+Assumptions!$B$19)*12-Assumptions!$B$21-Assumptions!$B$22-Assumptions!$B$23</f>
        <v>-6110.76</v>
      </c>
      <c r="F6" s="26" t="n">
        <f aca="false">($A6*Assumptions!$B$5+Assumptions!$B$8*Assumptions!$B$7)*12*(1-Assumptions!$B$12)-($A6+Assumptions!$B$8)*Assumptions!$B$13*12-F$4*12-(Assumptions!$B$11+Assumptions!$B$15+Assumptions!$B$16+Assumptions!$B$17+Assumptions!$B$18+Assumptions!$B$19)*12-Assumptions!$B$21-Assumptions!$B$22-Assumptions!$B$23</f>
        <v>-12110.76</v>
      </c>
    </row>
    <row r="7" customFormat="false" ht="15" hidden="false" customHeight="true" outlineLevel="0" collapsed="false">
      <c r="A7" s="9" t="n">
        <v>24</v>
      </c>
      <c r="B7" s="26" t="n">
        <f aca="false">($A7*Assumptions!$B$5+Assumptions!$B$8*Assumptions!$B$7)*12*(1-Assumptions!$B$12)-($A7+Assumptions!$B$8)*Assumptions!$B$13*12-B$4*12-(Assumptions!$B$11+Assumptions!$B$15+Assumptions!$B$16+Assumptions!$B$17+Assumptions!$B$18+Assumptions!$B$19)*12-Assumptions!$B$21-Assumptions!$B$22-Assumptions!$B$23</f>
        <v>14664.12</v>
      </c>
      <c r="C7" s="26" t="n">
        <f aca="false">($A7*Assumptions!$B$5+Assumptions!$B$8*Assumptions!$B$7)*12*(1-Assumptions!$B$12)-($A7+Assumptions!$B$8)*Assumptions!$B$13*12-C$4*12-(Assumptions!$B$11+Assumptions!$B$15+Assumptions!$B$16+Assumptions!$B$17+Assumptions!$B$18+Assumptions!$B$19)*12-Assumptions!$B$21-Assumptions!$B$22-Assumptions!$B$23</f>
        <v>8664.12</v>
      </c>
      <c r="D7" s="26" t="n">
        <f aca="false">($A7*Assumptions!$B$5+Assumptions!$B$8*Assumptions!$B$7)*12*(1-Assumptions!$B$12)-($A7+Assumptions!$B$8)*Assumptions!$B$13*12-D$4*12-(Assumptions!$B$11+Assumptions!$B$15+Assumptions!$B$16+Assumptions!$B$17+Assumptions!$B$18+Assumptions!$B$19)*12-Assumptions!$B$21-Assumptions!$B$22-Assumptions!$B$23</f>
        <v>2664.12</v>
      </c>
      <c r="E7" s="26" t="n">
        <f aca="false">($A7*Assumptions!$B$5+Assumptions!$B$8*Assumptions!$B$7)*12*(1-Assumptions!$B$12)-($A7+Assumptions!$B$8)*Assumptions!$B$13*12-E$4*12-(Assumptions!$B$11+Assumptions!$B$15+Assumptions!$B$16+Assumptions!$B$17+Assumptions!$B$18+Assumptions!$B$19)*12-Assumptions!$B$21-Assumptions!$B$22-Assumptions!$B$23</f>
        <v>-3335.88</v>
      </c>
      <c r="F7" s="26" t="n">
        <f aca="false">($A7*Assumptions!$B$5+Assumptions!$B$8*Assumptions!$B$7)*12*(1-Assumptions!$B$12)-($A7+Assumptions!$B$8)*Assumptions!$B$13*12-F$4*12-(Assumptions!$B$11+Assumptions!$B$15+Assumptions!$B$16+Assumptions!$B$17+Assumptions!$B$18+Assumptions!$B$19)*12-Assumptions!$B$21-Assumptions!$B$22-Assumptions!$B$23</f>
        <v>-9335.88</v>
      </c>
    </row>
    <row r="8" customFormat="false" ht="15" hidden="false" customHeight="true" outlineLevel="0" collapsed="false">
      <c r="A8" s="9" t="n">
        <v>30</v>
      </c>
      <c r="B8" s="26" t="n">
        <f aca="false">($A8*Assumptions!$B$5+Assumptions!$B$8*Assumptions!$B$7)*12*(1-Assumptions!$B$12)-($A8+Assumptions!$B$8)*Assumptions!$B$13*12-B$4*12-(Assumptions!$B$11+Assumptions!$B$15+Assumptions!$B$16+Assumptions!$B$17+Assumptions!$B$18+Assumptions!$B$19)*12-Assumptions!$B$21-Assumptions!$B$22-Assumptions!$B$23</f>
        <v>17439</v>
      </c>
      <c r="C8" s="26" t="n">
        <f aca="false">($A8*Assumptions!$B$5+Assumptions!$B$8*Assumptions!$B$7)*12*(1-Assumptions!$B$12)-($A8+Assumptions!$B$8)*Assumptions!$B$13*12-C$4*12-(Assumptions!$B$11+Assumptions!$B$15+Assumptions!$B$16+Assumptions!$B$17+Assumptions!$B$18+Assumptions!$B$19)*12-Assumptions!$B$21-Assumptions!$B$22-Assumptions!$B$23</f>
        <v>11439</v>
      </c>
      <c r="D8" s="26" t="n">
        <f aca="false">($A8*Assumptions!$B$5+Assumptions!$B$8*Assumptions!$B$7)*12*(1-Assumptions!$B$12)-($A8+Assumptions!$B$8)*Assumptions!$B$13*12-D$4*12-(Assumptions!$B$11+Assumptions!$B$15+Assumptions!$B$16+Assumptions!$B$17+Assumptions!$B$18+Assumptions!$B$19)*12-Assumptions!$B$21-Assumptions!$B$22-Assumptions!$B$23</f>
        <v>5439</v>
      </c>
      <c r="E8" s="26" t="n">
        <f aca="false">($A8*Assumptions!$B$5+Assumptions!$B$8*Assumptions!$B$7)*12*(1-Assumptions!$B$12)-($A8+Assumptions!$B$8)*Assumptions!$B$13*12-E$4*12-(Assumptions!$B$11+Assumptions!$B$15+Assumptions!$B$16+Assumptions!$B$17+Assumptions!$B$18+Assumptions!$B$19)*12-Assumptions!$B$21-Assumptions!$B$22-Assumptions!$B$23</f>
        <v>-561</v>
      </c>
      <c r="F8" s="26" t="n">
        <f aca="false">($A8*Assumptions!$B$5+Assumptions!$B$8*Assumptions!$B$7)*12*(1-Assumptions!$B$12)-($A8+Assumptions!$B$8)*Assumptions!$B$13*12-F$4*12-(Assumptions!$B$11+Assumptions!$B$15+Assumptions!$B$16+Assumptions!$B$17+Assumptions!$B$18+Assumptions!$B$19)*12-Assumptions!$B$21-Assumptions!$B$22-Assumptions!$B$23</f>
        <v>-6561</v>
      </c>
    </row>
    <row r="9" customFormat="false" ht="15" hidden="false" customHeight="true" outlineLevel="0" collapsed="false">
      <c r="A9" s="9" t="n">
        <v>36</v>
      </c>
      <c r="B9" s="26" t="n">
        <f aca="false">($A9*Assumptions!$B$5+Assumptions!$B$8*Assumptions!$B$7)*12*(1-Assumptions!$B$12)-($A9+Assumptions!$B$8)*Assumptions!$B$13*12-B$4*12-(Assumptions!$B$11+Assumptions!$B$15+Assumptions!$B$16+Assumptions!$B$17+Assumptions!$B$18+Assumptions!$B$19)*12-Assumptions!$B$21-Assumptions!$B$22-Assumptions!$B$23</f>
        <v>20213.88</v>
      </c>
      <c r="C9" s="26" t="n">
        <f aca="false">($A9*Assumptions!$B$5+Assumptions!$B$8*Assumptions!$B$7)*12*(1-Assumptions!$B$12)-($A9+Assumptions!$B$8)*Assumptions!$B$13*12-C$4*12-(Assumptions!$B$11+Assumptions!$B$15+Assumptions!$B$16+Assumptions!$B$17+Assumptions!$B$18+Assumptions!$B$19)*12-Assumptions!$B$21-Assumptions!$B$22-Assumptions!$B$23</f>
        <v>14213.88</v>
      </c>
      <c r="D9" s="26" t="n">
        <f aca="false">($A9*Assumptions!$B$5+Assumptions!$B$8*Assumptions!$B$7)*12*(1-Assumptions!$B$12)-($A9+Assumptions!$B$8)*Assumptions!$B$13*12-D$4*12-(Assumptions!$B$11+Assumptions!$B$15+Assumptions!$B$16+Assumptions!$B$17+Assumptions!$B$18+Assumptions!$B$19)*12-Assumptions!$B$21-Assumptions!$B$22-Assumptions!$B$23</f>
        <v>8213.88</v>
      </c>
      <c r="E9" s="26" t="n">
        <f aca="false">($A9*Assumptions!$B$5+Assumptions!$B$8*Assumptions!$B$7)*12*(1-Assumptions!$B$12)-($A9+Assumptions!$B$8)*Assumptions!$B$13*12-E$4*12-(Assumptions!$B$11+Assumptions!$B$15+Assumptions!$B$16+Assumptions!$B$17+Assumptions!$B$18+Assumptions!$B$19)*12-Assumptions!$B$21-Assumptions!$B$22-Assumptions!$B$23</f>
        <v>2213.88</v>
      </c>
      <c r="F9" s="26" t="n">
        <f aca="false">($A9*Assumptions!$B$5+Assumptions!$B$8*Assumptions!$B$7)*12*(1-Assumptions!$B$12)-($A9+Assumptions!$B$8)*Assumptions!$B$13*12-F$4*12-(Assumptions!$B$11+Assumptions!$B$15+Assumptions!$B$16+Assumptions!$B$17+Assumptions!$B$18+Assumptions!$B$19)*12-Assumptions!$B$21-Assumptions!$B$22-Assumptions!$B$23</f>
        <v>-3786.12</v>
      </c>
    </row>
    <row r="11" customFormat="false" ht="15" hidden="false" customHeight="true" outlineLevel="0" collapsed="false">
      <c r="A11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78</v>
      </c>
    </row>
    <row r="2" customFormat="false" ht="15" hidden="false" customHeight="true" outlineLevel="0" collapsed="false">
      <c r="A2" s="3" t="s">
        <v>79</v>
      </c>
    </row>
    <row r="4" customFormat="false" ht="15" hidden="false" customHeight="true" outlineLevel="0" collapsed="false">
      <c r="A4" s="4" t="s">
        <v>80</v>
      </c>
      <c r="B4" s="5"/>
    </row>
    <row r="5" customFormat="false" ht="15" hidden="false" customHeight="true" outlineLevel="0" collapsed="false">
      <c r="A5" s="6" t="s">
        <v>81</v>
      </c>
      <c r="B5" s="9" t="n">
        <v>1000</v>
      </c>
      <c r="C5" s="8" t="s">
        <v>82</v>
      </c>
    </row>
    <row r="6" customFormat="false" ht="15" hidden="false" customHeight="true" outlineLevel="0" collapsed="false">
      <c r="A6" s="6" t="s">
        <v>83</v>
      </c>
      <c r="B6" s="27" t="n">
        <v>5</v>
      </c>
      <c r="C6" s="8" t="s">
        <v>84</v>
      </c>
    </row>
    <row r="7" customFormat="false" ht="15" hidden="false" customHeight="true" outlineLevel="0" collapsed="false">
      <c r="A7" s="6" t="s">
        <v>85</v>
      </c>
      <c r="B7" s="9" t="n">
        <v>80</v>
      </c>
      <c r="C7" s="8" t="s">
        <v>86</v>
      </c>
    </row>
    <row r="8" customFormat="false" ht="15" hidden="false" customHeight="true" outlineLevel="0" collapsed="false">
      <c r="A8" s="6" t="s">
        <v>87</v>
      </c>
      <c r="B8" s="28" t="n">
        <v>3</v>
      </c>
      <c r="C8" s="8" t="s">
        <v>88</v>
      </c>
    </row>
    <row r="9" customFormat="false" ht="15" hidden="false" customHeight="true" outlineLevel="0" collapsed="false">
      <c r="A9" s="6" t="s">
        <v>89</v>
      </c>
      <c r="B9" s="28" t="n">
        <v>5</v>
      </c>
      <c r="C9" s="8" t="s">
        <v>90</v>
      </c>
    </row>
    <row r="10" customFormat="false" ht="15" hidden="false" customHeight="true" outlineLevel="0" collapsed="false">
      <c r="A10" s="6" t="s">
        <v>91</v>
      </c>
      <c r="B10" s="10" t="n">
        <v>0.04</v>
      </c>
      <c r="C10" s="8" t="s">
        <v>92</v>
      </c>
    </row>
    <row r="11" customFormat="false" ht="15" hidden="false" customHeight="true" outlineLevel="0" collapsed="false">
      <c r="A11" s="6" t="s">
        <v>93</v>
      </c>
      <c r="B11" s="10" t="n">
        <v>0.5</v>
      </c>
      <c r="C11" s="8" t="s">
        <v>33</v>
      </c>
    </row>
    <row r="12" customFormat="false" ht="15" hidden="false" customHeight="true" outlineLevel="0" collapsed="false">
      <c r="A12" s="6" t="s">
        <v>94</v>
      </c>
      <c r="B12" s="7" t="n">
        <v>20</v>
      </c>
      <c r="C12" s="8" t="s">
        <v>95</v>
      </c>
    </row>
    <row r="14" customFormat="false" ht="15" hidden="false" customHeight="true" outlineLevel="0" collapsed="false">
      <c r="A14" s="4" t="s">
        <v>96</v>
      </c>
      <c r="B14" s="12" t="s">
        <v>97</v>
      </c>
      <c r="C14" s="12" t="s">
        <v>98</v>
      </c>
      <c r="D14" s="12" t="s">
        <v>99</v>
      </c>
    </row>
    <row r="15" customFormat="false" ht="15" hidden="false" customHeight="true" outlineLevel="0" collapsed="false">
      <c r="A15" s="6" t="s">
        <v>100</v>
      </c>
      <c r="B15" s="29" t="n">
        <f aca="false">$B$5*$B$6</f>
        <v>5000</v>
      </c>
    </row>
    <row r="16" customFormat="false" ht="15" hidden="false" customHeight="true" outlineLevel="0" collapsed="false">
      <c r="A16" s="6" t="s">
        <v>101</v>
      </c>
      <c r="B16" s="30" t="n">
        <f aca="false">($B$7-Assumptions!$B$6-Assumptions!$B$8)*1+Assumptions!$B$6*$B$8+Assumptions!$B$8*$B$9</f>
        <v>140</v>
      </c>
    </row>
    <row r="17" customFormat="false" ht="15" hidden="false" customHeight="true" outlineLevel="0" collapsed="false">
      <c r="A17" s="6" t="s">
        <v>102</v>
      </c>
      <c r="B17" s="31" t="n">
        <f aca="false">$B$15*1/$B$16</f>
        <v>35.7142857142857</v>
      </c>
      <c r="C17" s="31" t="n">
        <f aca="false">$B$15*$B$8/$B$16</f>
        <v>107.142857142857</v>
      </c>
      <c r="D17" s="31" t="n">
        <f aca="false">$B$15*$B$9/$B$16</f>
        <v>178.571428571429</v>
      </c>
    </row>
    <row r="18" customFormat="false" ht="15" hidden="false" customHeight="true" outlineLevel="0" collapsed="false">
      <c r="A18" s="6" t="s">
        <v>103</v>
      </c>
      <c r="B18" s="32" t="n">
        <f aca="false">B17*$B$10</f>
        <v>1.42857142857143</v>
      </c>
      <c r="C18" s="32" t="n">
        <f aca="false">C17*$B$10</f>
        <v>4.28571428571429</v>
      </c>
      <c r="D18" s="32" t="n">
        <f aca="false">D17*$B$10</f>
        <v>7.14285714285714</v>
      </c>
    </row>
    <row r="19" customFormat="false" ht="15" hidden="false" customHeight="true" outlineLevel="0" collapsed="false">
      <c r="A19" s="6" t="s">
        <v>104</v>
      </c>
      <c r="B19" s="32" t="n">
        <f aca="false">B18*$B$11</f>
        <v>0.714285714285714</v>
      </c>
      <c r="C19" s="32" t="n">
        <f aca="false">C18*$B$11</f>
        <v>2.14285714285714</v>
      </c>
      <c r="D19" s="32" t="n">
        <f aca="false">D18*$B$11</f>
        <v>3.57142857142857</v>
      </c>
    </row>
    <row r="20" customFormat="false" ht="15" hidden="false" customHeight="true" outlineLevel="0" collapsed="false">
      <c r="A20" s="6" t="s">
        <v>105</v>
      </c>
      <c r="B20" s="17" t="n">
        <f aca="false">B19*$B$12</f>
        <v>14.2857142857143</v>
      </c>
      <c r="C20" s="17" t="n">
        <f aca="false">C19*$B$12</f>
        <v>42.8571428571429</v>
      </c>
      <c r="D20" s="17" t="n">
        <f aca="false">D19*$B$12</f>
        <v>71.4285714285714</v>
      </c>
    </row>
    <row r="21" customFormat="false" ht="15" hidden="false" customHeight="true" outlineLevel="0" collapsed="false">
      <c r="A21" s="6" t="s">
        <v>106</v>
      </c>
      <c r="B21" s="17" t="n">
        <f aca="false">0</f>
        <v>0</v>
      </c>
      <c r="C21" s="17" t="n">
        <f aca="false">Assumptions!$B$5</f>
        <v>40</v>
      </c>
      <c r="D21" s="17" t="n">
        <f aca="false">Assumptions!$B$7</f>
        <v>150</v>
      </c>
    </row>
    <row r="22" customFormat="false" ht="15" hidden="false" customHeight="true" outlineLevel="0" collapsed="false">
      <c r="A22" s="15" t="s">
        <v>107</v>
      </c>
      <c r="B22" s="33" t="str">
        <f aca="false">"n/a"</f>
        <v>n/a</v>
      </c>
      <c r="C22" s="33" t="n">
        <f aca="false">C20/C21</f>
        <v>1.07142857142857</v>
      </c>
      <c r="D22" s="33" t="n">
        <f aca="false">D20/D21</f>
        <v>0.476190476190476</v>
      </c>
    </row>
    <row r="23" customFormat="false" ht="15" hidden="false" customHeight="true" outlineLevel="0" collapsed="false">
      <c r="A23" s="6" t="s">
        <v>108</v>
      </c>
      <c r="B23" s="32" t="str">
        <f aca="false">"n/a"</f>
        <v>n/a</v>
      </c>
      <c r="C23" s="32" t="n">
        <f aca="false">Assumptions!$B$5/$B$12</f>
        <v>2</v>
      </c>
      <c r="D23" s="32" t="n">
        <f aca="false">Assumptions!$B$7/$B$12</f>
        <v>7.5</v>
      </c>
    </row>
    <row r="25" customFormat="false" ht="15" hidden="false" customHeight="true" outlineLevel="0" collapsed="false">
      <c r="A25" s="4" t="s">
        <v>109</v>
      </c>
      <c r="B25" s="12" t="s">
        <v>110</v>
      </c>
      <c r="C25" s="12" t="s">
        <v>111</v>
      </c>
      <c r="D25" s="12" t="s">
        <v>112</v>
      </c>
      <c r="E25" s="12" t="s">
        <v>113</v>
      </c>
    </row>
    <row r="26" customFormat="false" ht="15" hidden="false" customHeight="true" outlineLevel="0" collapsed="false">
      <c r="A26" s="34" t="n">
        <v>1000</v>
      </c>
      <c r="B26" s="29" t="n">
        <f aca="false">$A26*$B$6*$B$8/$B$16</f>
        <v>107.142857142857</v>
      </c>
      <c r="C26" s="35" t="n">
        <f aca="false">B26*$B$10*$B$11</f>
        <v>2.14285714285714</v>
      </c>
      <c r="D26" s="26" t="n">
        <f aca="false">C26*$B$12</f>
        <v>42.8571428571429</v>
      </c>
      <c r="E26" s="36" t="n">
        <f aca="false">D26/Assumptions!$B$5</f>
        <v>1.07142857142857</v>
      </c>
    </row>
    <row r="27" customFormat="false" ht="15" hidden="false" customHeight="true" outlineLevel="0" collapsed="false">
      <c r="A27" s="34" t="n">
        <v>2500</v>
      </c>
      <c r="B27" s="29" t="n">
        <f aca="false">$A27*$B$6*$B$8/$B$16</f>
        <v>267.857142857143</v>
      </c>
      <c r="C27" s="35" t="n">
        <f aca="false">B27*$B$10*$B$11</f>
        <v>5.35714285714286</v>
      </c>
      <c r="D27" s="26" t="n">
        <f aca="false">C27*$B$12</f>
        <v>107.142857142857</v>
      </c>
      <c r="E27" s="36" t="n">
        <f aca="false">D27/Assumptions!$B$5</f>
        <v>2.67857142857143</v>
      </c>
    </row>
    <row r="28" customFormat="false" ht="15" hidden="false" customHeight="true" outlineLevel="0" collapsed="false">
      <c r="A28" s="34" t="n">
        <v>5000</v>
      </c>
      <c r="B28" s="29" t="n">
        <f aca="false">$A28*$B$6*$B$8/$B$16</f>
        <v>535.714285714286</v>
      </c>
      <c r="C28" s="35" t="n">
        <f aca="false">B28*$B$10*$B$11</f>
        <v>10.7142857142857</v>
      </c>
      <c r="D28" s="26" t="n">
        <f aca="false">C28*$B$12</f>
        <v>214.285714285714</v>
      </c>
      <c r="E28" s="36" t="n">
        <f aca="false">D28/Assumptions!$B$5</f>
        <v>5.35714285714286</v>
      </c>
    </row>
    <row r="29" customFormat="false" ht="15" hidden="false" customHeight="true" outlineLevel="0" collapsed="false">
      <c r="A29" s="34" t="n">
        <v>10000</v>
      </c>
      <c r="B29" s="29" t="n">
        <f aca="false">$A29*$B$6*$B$8/$B$16</f>
        <v>1071.42857142857</v>
      </c>
      <c r="C29" s="35" t="n">
        <f aca="false">B29*$B$10*$B$11</f>
        <v>21.4285714285714</v>
      </c>
      <c r="D29" s="26" t="n">
        <f aca="false">C29*$B$12</f>
        <v>428.571428571429</v>
      </c>
      <c r="E29" s="36" t="n">
        <f aca="false">D29/Assumptions!$B$5</f>
        <v>10.7142857142857</v>
      </c>
    </row>
    <row r="31" customFormat="false" ht="15" hidden="false" customHeight="true" outlineLevel="0" collapsed="false">
      <c r="A31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2026-06-11T08:52:58Z</dcterms:created>
  <dc:creator>openpyxl</dc:creator>
  <dc:description/>
  <dc:language>en-US</dc:language>
  <cp:lastModifiedBy/>
  <dcterms:modified xsi:type="dcterms:W3CDTF">2026-06-11T13:12:28Z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